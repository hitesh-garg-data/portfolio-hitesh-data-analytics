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c8442fd0b12f604a/Documents/DataAnalyticsPlan/Week02_ExcelFormulas/Excel/Retail_Sales_Project/"/>
    </mc:Choice>
  </mc:AlternateContent>
  <xr:revisionPtr revIDLastSave="1146" documentId="8_{6D5CCE35-77DD-40D6-97FF-4F4623848EBD}" xr6:coauthVersionLast="47" xr6:coauthVersionMax="47" xr10:uidLastSave="{014CDE60-B15F-47DD-BA65-2AF59E3C3278}"/>
  <bookViews>
    <workbookView xWindow="-108" yWindow="-108" windowWidth="23256" windowHeight="12456" tabRatio="602" activeTab="3" xr2:uid="{6F74E682-25D0-4023-B15F-90EDC71C8843}"/>
  </bookViews>
  <sheets>
    <sheet name="Dataset Retail_Sales" sheetId="1" r:id="rId1"/>
    <sheet name="Pivots" sheetId="3" r:id="rId2"/>
    <sheet name="Chart_Discount_Profit" sheetId="6" state="hidden" r:id="rId3"/>
    <sheet name="Dashboard" sheetId="5" r:id="rId4"/>
  </sheets>
  <definedNames>
    <definedName name="_xlnm._FilterDatabase" localSheetId="0" hidden="1">'Dataset Retail_Sales'!$A$1:$L$57</definedName>
    <definedName name="_xlnm.Print_Area" localSheetId="3">Dashboard!$A$1:$T$95</definedName>
    <definedName name="Slicer_Months__Date">#N/A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DD6" i="5"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F54" i="1"/>
  <c r="L54" i="1" s="1"/>
  <c r="F60" i="1"/>
  <c r="H60" i="1" s="1"/>
  <c r="F62" i="1"/>
  <c r="H62" i="1" s="1"/>
  <c r="F66" i="1"/>
  <c r="L66" i="1" s="1"/>
  <c r="F72" i="1"/>
  <c r="H72" i="1" s="1"/>
  <c r="F74" i="1"/>
  <c r="H74" i="1" s="1"/>
  <c r="F78" i="1"/>
  <c r="L78" i="1" s="1"/>
  <c r="F84" i="1"/>
  <c r="H84" i="1" s="1"/>
  <c r="F85" i="1"/>
  <c r="H85" i="1" s="1"/>
  <c r="F86" i="1"/>
  <c r="H86" i="1" s="1"/>
  <c r="F96" i="1"/>
  <c r="H96" i="1" s="1"/>
  <c r="F97" i="1"/>
  <c r="H97" i="1" s="1"/>
  <c r="F98" i="1"/>
  <c r="H98" i="1" s="1"/>
  <c r="F108" i="1"/>
  <c r="H108" i="1" s="1"/>
  <c r="F110" i="1"/>
  <c r="H110" i="1" s="1"/>
  <c r="F120" i="1"/>
  <c r="H120" i="1" s="1"/>
  <c r="F122" i="1"/>
  <c r="H122" i="1" s="1"/>
  <c r="F126" i="1"/>
  <c r="L126" i="1" s="1"/>
  <c r="F134" i="1"/>
  <c r="H134" i="1" s="1"/>
  <c r="F138" i="1"/>
  <c r="H138" i="1" s="1"/>
  <c r="F144" i="1"/>
  <c r="H144" i="1" s="1"/>
  <c r="F146" i="1"/>
  <c r="H146" i="1" s="1"/>
  <c r="F150" i="1"/>
  <c r="L150" i="1" s="1"/>
  <c r="F58" i="1"/>
  <c r="H58" i="1" s="1"/>
  <c r="F59" i="1"/>
  <c r="H59" i="1" s="1"/>
  <c r="F61" i="1"/>
  <c r="H61" i="1" s="1"/>
  <c r="F63" i="1"/>
  <c r="H63" i="1" s="1"/>
  <c r="F70" i="1"/>
  <c r="H70" i="1" s="1"/>
  <c r="F71" i="1"/>
  <c r="H71" i="1" s="1"/>
  <c r="F73" i="1"/>
  <c r="H73" i="1" s="1"/>
  <c r="F82" i="1"/>
  <c r="H82" i="1" s="1"/>
  <c r="F83" i="1"/>
  <c r="H83" i="1" s="1"/>
  <c r="F94" i="1"/>
  <c r="H94" i="1" s="1"/>
  <c r="F95" i="1"/>
  <c r="H95" i="1" s="1"/>
  <c r="F106" i="1"/>
  <c r="H106" i="1" s="1"/>
  <c r="F107" i="1"/>
  <c r="H107" i="1" s="1"/>
  <c r="F109" i="1"/>
  <c r="H109" i="1" s="1"/>
  <c r="F118" i="1"/>
  <c r="L118" i="1" s="1"/>
  <c r="F119" i="1"/>
  <c r="H119" i="1" s="1"/>
  <c r="F121" i="1"/>
  <c r="H121" i="1" s="1"/>
  <c r="F130" i="1"/>
  <c r="H130" i="1" s="1"/>
  <c r="F131" i="1"/>
  <c r="H131" i="1" s="1"/>
  <c r="F132" i="1"/>
  <c r="H132" i="1" s="1"/>
  <c r="F133" i="1"/>
  <c r="H133" i="1" s="1"/>
  <c r="F142" i="1"/>
  <c r="H142" i="1" s="1"/>
  <c r="F143" i="1"/>
  <c r="H143" i="1" s="1"/>
  <c r="F145" i="1"/>
  <c r="H145" i="1" s="1"/>
  <c r="F52" i="1"/>
  <c r="H52" i="1" s="1"/>
  <c r="F53" i="1"/>
  <c r="H53" i="1" s="1"/>
  <c r="F55" i="1"/>
  <c r="L55" i="1" s="1"/>
  <c r="F56" i="1"/>
  <c r="L56" i="1" s="1"/>
  <c r="F57" i="1"/>
  <c r="H57" i="1" s="1"/>
  <c r="F64" i="1"/>
  <c r="H64" i="1" s="1"/>
  <c r="F65" i="1"/>
  <c r="L65" i="1" s="1"/>
  <c r="F67" i="1"/>
  <c r="L67" i="1" s="1"/>
  <c r="F68" i="1"/>
  <c r="L68" i="1" s="1"/>
  <c r="F69" i="1"/>
  <c r="H69" i="1" s="1"/>
  <c r="F75" i="1"/>
  <c r="H75" i="1" s="1"/>
  <c r="F76" i="1"/>
  <c r="H76" i="1" s="1"/>
  <c r="F77" i="1"/>
  <c r="H77" i="1" s="1"/>
  <c r="F79" i="1"/>
  <c r="L79" i="1" s="1"/>
  <c r="F80" i="1"/>
  <c r="L80" i="1" s="1"/>
  <c r="F81" i="1"/>
  <c r="H81" i="1" s="1"/>
  <c r="F87" i="1"/>
  <c r="H87" i="1" s="1"/>
  <c r="F88" i="1"/>
  <c r="L88" i="1" s="1"/>
  <c r="F89" i="1"/>
  <c r="H89" i="1" s="1"/>
  <c r="F90" i="1"/>
  <c r="L90" i="1" s="1"/>
  <c r="F91" i="1"/>
  <c r="L91" i="1" s="1"/>
  <c r="F92" i="1"/>
  <c r="H92" i="1" s="1"/>
  <c r="F93" i="1"/>
  <c r="H93" i="1" s="1"/>
  <c r="F99" i="1"/>
  <c r="H99" i="1" s="1"/>
  <c r="F100" i="1"/>
  <c r="H100" i="1" s="1"/>
  <c r="F101" i="1"/>
  <c r="H101" i="1" s="1"/>
  <c r="F102" i="1"/>
  <c r="L102" i="1" s="1"/>
  <c r="F103" i="1"/>
  <c r="L103" i="1" s="1"/>
  <c r="F104" i="1"/>
  <c r="L104" i="1" s="1"/>
  <c r="F105" i="1"/>
  <c r="L105" i="1" s="1"/>
  <c r="F111" i="1"/>
  <c r="L111" i="1" s="1"/>
  <c r="F112" i="1"/>
  <c r="H112" i="1" s="1"/>
  <c r="F113" i="1"/>
  <c r="H113" i="1" s="1"/>
  <c r="F114" i="1"/>
  <c r="L114" i="1" s="1"/>
  <c r="F115" i="1"/>
  <c r="L115" i="1" s="1"/>
  <c r="F116" i="1"/>
  <c r="L116" i="1" s="1"/>
  <c r="F117" i="1"/>
  <c r="H117" i="1" s="1"/>
  <c r="F123" i="1"/>
  <c r="L123" i="1" s="1"/>
  <c r="F124" i="1"/>
  <c r="L124" i="1" s="1"/>
  <c r="F125" i="1"/>
  <c r="H125" i="1" s="1"/>
  <c r="F127" i="1"/>
  <c r="L127" i="1" s="1"/>
  <c r="F128" i="1"/>
  <c r="L128" i="1" s="1"/>
  <c r="F129" i="1"/>
  <c r="H129" i="1" s="1"/>
  <c r="F135" i="1"/>
  <c r="L135" i="1" s="1"/>
  <c r="F136" i="1"/>
  <c r="H136" i="1" s="1"/>
  <c r="F137" i="1"/>
  <c r="H137" i="1" s="1"/>
  <c r="F139" i="1"/>
  <c r="L139" i="1" s="1"/>
  <c r="F140" i="1"/>
  <c r="L140" i="1" s="1"/>
  <c r="F141" i="1"/>
  <c r="H141" i="1" s="1"/>
  <c r="F147" i="1"/>
  <c r="L147" i="1" s="1"/>
  <c r="F148" i="1"/>
  <c r="L148" i="1" s="1"/>
  <c r="F149" i="1"/>
  <c r="L149" i="1" s="1"/>
  <c r="F151" i="1"/>
  <c r="L151" i="1" s="1"/>
  <c r="I150" i="1" l="1"/>
  <c r="I106" i="1"/>
  <c r="I80" i="1"/>
  <c r="I79" i="1"/>
  <c r="I77" i="1"/>
  <c r="I117" i="1"/>
  <c r="I116" i="1"/>
  <c r="I76" i="1"/>
  <c r="I53" i="1"/>
  <c r="I52" i="1"/>
  <c r="H126" i="1"/>
  <c r="M126" i="1" s="1"/>
  <c r="I104" i="1"/>
  <c r="H103" i="1"/>
  <c r="M103" i="1" s="1"/>
  <c r="I103" i="1"/>
  <c r="H102" i="1"/>
  <c r="M102" i="1" s="1"/>
  <c r="I128" i="1"/>
  <c r="I102" i="1"/>
  <c r="I58" i="1"/>
  <c r="H66" i="1"/>
  <c r="M66" i="1" s="1"/>
  <c r="I127" i="1"/>
  <c r="I101" i="1"/>
  <c r="I57" i="1"/>
  <c r="I149" i="1"/>
  <c r="I147" i="1"/>
  <c r="H127" i="1"/>
  <c r="M127" i="1" s="1"/>
  <c r="I141" i="1"/>
  <c r="I140" i="1"/>
  <c r="I70" i="1"/>
  <c r="I129" i="1"/>
  <c r="I66" i="1"/>
  <c r="H55" i="1"/>
  <c r="M55" i="1" s="1"/>
  <c r="I125" i="1"/>
  <c r="I100" i="1"/>
  <c r="I56" i="1"/>
  <c r="I105" i="1"/>
  <c r="H54" i="1"/>
  <c r="M54" i="1" s="1"/>
  <c r="I124" i="1"/>
  <c r="I99" i="1"/>
  <c r="I55" i="1"/>
  <c r="I148" i="1"/>
  <c r="I151" i="1"/>
  <c r="I123" i="1"/>
  <c r="I98" i="1"/>
  <c r="I54" i="1"/>
  <c r="I118" i="1"/>
  <c r="I81" i="1"/>
  <c r="I137" i="1"/>
  <c r="I113" i="1"/>
  <c r="H90" i="1"/>
  <c r="M90" i="1" s="1"/>
  <c r="I146" i="1"/>
  <c r="I134" i="1"/>
  <c r="I122" i="1"/>
  <c r="I110" i="1"/>
  <c r="I86" i="1"/>
  <c r="H79" i="1"/>
  <c r="M79" i="1" s="1"/>
  <c r="I145" i="1"/>
  <c r="I133" i="1"/>
  <c r="I121" i="1"/>
  <c r="I109" i="1"/>
  <c r="I97" i="1"/>
  <c r="I85" i="1"/>
  <c r="I73" i="1"/>
  <c r="I61" i="1"/>
  <c r="I67" i="1"/>
  <c r="H114" i="1"/>
  <c r="M114" i="1" s="1"/>
  <c r="I114" i="1"/>
  <c r="I90" i="1"/>
  <c r="I89" i="1"/>
  <c r="I65" i="1"/>
  <c r="I136" i="1"/>
  <c r="I112" i="1"/>
  <c r="I63" i="1"/>
  <c r="I74" i="1"/>
  <c r="I62" i="1"/>
  <c r="H151" i="1"/>
  <c r="M151" i="1" s="1"/>
  <c r="H78" i="1"/>
  <c r="M78" i="1" s="1"/>
  <c r="I144" i="1"/>
  <c r="I132" i="1"/>
  <c r="I120" i="1"/>
  <c r="I108" i="1"/>
  <c r="I96" i="1"/>
  <c r="I84" i="1"/>
  <c r="I72" i="1"/>
  <c r="I60" i="1"/>
  <c r="I92" i="1"/>
  <c r="I68" i="1"/>
  <c r="H115" i="1"/>
  <c r="M115" i="1" s="1"/>
  <c r="I139" i="1"/>
  <c r="I115" i="1"/>
  <c r="I91" i="1"/>
  <c r="I138" i="1"/>
  <c r="I126" i="1"/>
  <c r="I78" i="1"/>
  <c r="I88" i="1"/>
  <c r="I64" i="1"/>
  <c r="H91" i="1"/>
  <c r="M91" i="1" s="1"/>
  <c r="I135" i="1"/>
  <c r="I111" i="1"/>
  <c r="I87" i="1"/>
  <c r="I75" i="1"/>
  <c r="H139" i="1"/>
  <c r="M139" i="1" s="1"/>
  <c r="H67" i="1"/>
  <c r="M67" i="1" s="1"/>
  <c r="I143" i="1"/>
  <c r="I131" i="1"/>
  <c r="I119" i="1"/>
  <c r="I107" i="1"/>
  <c r="I95" i="1"/>
  <c r="I83" i="1"/>
  <c r="I71" i="1"/>
  <c r="I59" i="1"/>
  <c r="I142" i="1"/>
  <c r="I130" i="1"/>
  <c r="I94" i="1"/>
  <c r="I82" i="1"/>
  <c r="I93" i="1"/>
  <c r="I69" i="1"/>
  <c r="H118" i="1"/>
  <c r="M118" i="1" s="1"/>
  <c r="H105" i="1"/>
  <c r="M105" i="1" s="1"/>
  <c r="H150" i="1"/>
  <c r="M150" i="1" s="1"/>
  <c r="H140" i="1"/>
  <c r="M140" i="1" s="1"/>
  <c r="H128" i="1"/>
  <c r="M128" i="1" s="1"/>
  <c r="H116" i="1"/>
  <c r="M116" i="1" s="1"/>
  <c r="H104" i="1"/>
  <c r="M104" i="1" s="1"/>
  <c r="H80" i="1"/>
  <c r="M80" i="1" s="1"/>
  <c r="H68" i="1"/>
  <c r="M68" i="1" s="1"/>
  <c r="H56" i="1"/>
  <c r="M56" i="1" s="1"/>
  <c r="H149" i="1"/>
  <c r="M149" i="1" s="1"/>
  <c r="H65" i="1"/>
  <c r="M65" i="1" s="1"/>
  <c r="H148" i="1"/>
  <c r="M148" i="1" s="1"/>
  <c r="H124" i="1"/>
  <c r="M124" i="1" s="1"/>
  <c r="H88" i="1"/>
  <c r="M88" i="1" s="1"/>
  <c r="H147" i="1"/>
  <c r="M147" i="1" s="1"/>
  <c r="H135" i="1"/>
  <c r="M135" i="1" s="1"/>
  <c r="H123" i="1"/>
  <c r="M123" i="1" s="1"/>
  <c r="H111" i="1"/>
  <c r="M111" i="1" s="1"/>
  <c r="L138" i="1"/>
  <c r="M138" i="1" s="1"/>
  <c r="L71" i="1"/>
  <c r="M71" i="1" s="1"/>
  <c r="L125" i="1"/>
  <c r="M125" i="1" s="1"/>
  <c r="L81" i="1"/>
  <c r="M81" i="1" s="1"/>
  <c r="L63" i="1"/>
  <c r="M63" i="1" s="1"/>
  <c r="L99" i="1"/>
  <c r="M99" i="1" s="1"/>
  <c r="L75" i="1"/>
  <c r="M75" i="1" s="1"/>
  <c r="L142" i="1"/>
  <c r="M142" i="1" s="1"/>
  <c r="L94" i="1"/>
  <c r="M94" i="1" s="1"/>
  <c r="L77" i="1"/>
  <c r="M77" i="1" s="1"/>
  <c r="L113" i="1"/>
  <c r="M113" i="1" s="1"/>
  <c r="L130" i="1"/>
  <c r="M130" i="1" s="1"/>
  <c r="L64" i="1"/>
  <c r="M64" i="1" s="1"/>
  <c r="L87" i="1"/>
  <c r="M87" i="1" s="1"/>
  <c r="L57" i="1"/>
  <c r="M57" i="1" s="1"/>
  <c r="L70" i="1"/>
  <c r="M70" i="1" s="1"/>
  <c r="L101" i="1"/>
  <c r="M101" i="1" s="1"/>
  <c r="L53" i="1"/>
  <c r="M53" i="1" s="1"/>
  <c r="L137" i="1"/>
  <c r="M137" i="1" s="1"/>
  <c r="L92" i="1"/>
  <c r="M92" i="1" s="1"/>
  <c r="L69" i="1"/>
  <c r="M69" i="1" s="1"/>
  <c r="L129" i="1"/>
  <c r="M129" i="1" s="1"/>
  <c r="L89" i="1"/>
  <c r="M89" i="1" s="1"/>
  <c r="L131" i="1"/>
  <c r="M131" i="1" s="1"/>
  <c r="L73" i="1"/>
  <c r="M73" i="1" s="1"/>
  <c r="L74" i="1"/>
  <c r="M74" i="1" s="1"/>
  <c r="L119" i="1"/>
  <c r="M119" i="1" s="1"/>
  <c r="L61" i="1"/>
  <c r="M61" i="1" s="1"/>
  <c r="L109" i="1"/>
  <c r="M109" i="1" s="1"/>
  <c r="L59" i="1"/>
  <c r="M59" i="1" s="1"/>
  <c r="L141" i="1"/>
  <c r="M141" i="1" s="1"/>
  <c r="L117" i="1"/>
  <c r="M117" i="1" s="1"/>
  <c r="L100" i="1"/>
  <c r="M100" i="1" s="1"/>
  <c r="L52" i="1"/>
  <c r="M52" i="1" s="1"/>
  <c r="L107" i="1"/>
  <c r="M107" i="1" s="1"/>
  <c r="L58" i="1"/>
  <c r="M58" i="1" s="1"/>
  <c r="L76" i="1"/>
  <c r="M76" i="1" s="1"/>
  <c r="L145" i="1"/>
  <c r="M145" i="1" s="1"/>
  <c r="L106" i="1"/>
  <c r="M106" i="1" s="1"/>
  <c r="L121" i="1"/>
  <c r="M121" i="1" s="1"/>
  <c r="L93" i="1"/>
  <c r="M93" i="1" s="1"/>
  <c r="L143" i="1"/>
  <c r="M143" i="1" s="1"/>
  <c r="L95" i="1"/>
  <c r="M95" i="1" s="1"/>
  <c r="L136" i="1"/>
  <c r="M136" i="1" s="1"/>
  <c r="L133" i="1"/>
  <c r="M133" i="1" s="1"/>
  <c r="L83" i="1"/>
  <c r="M83" i="1" s="1"/>
  <c r="L120" i="1"/>
  <c r="M120" i="1" s="1"/>
  <c r="L112" i="1"/>
  <c r="M112" i="1" s="1"/>
  <c r="L82" i="1"/>
  <c r="M82" i="1" s="1"/>
  <c r="L122" i="1"/>
  <c r="M122" i="1" s="1"/>
  <c r="L72" i="1"/>
  <c r="M72" i="1" s="1"/>
  <c r="L110" i="1"/>
  <c r="M110" i="1" s="1"/>
  <c r="L62" i="1"/>
  <c r="M62" i="1" s="1"/>
  <c r="L108" i="1"/>
  <c r="M108" i="1" s="1"/>
  <c r="L60" i="1"/>
  <c r="M60" i="1" s="1"/>
  <c r="L98" i="1"/>
  <c r="M98" i="1" s="1"/>
  <c r="L97" i="1"/>
  <c r="M97" i="1" s="1"/>
  <c r="L96" i="1"/>
  <c r="M96" i="1" s="1"/>
  <c r="L146" i="1"/>
  <c r="M146" i="1" s="1"/>
  <c r="L86" i="1"/>
  <c r="M86" i="1" s="1"/>
  <c r="L144" i="1"/>
  <c r="M144" i="1" s="1"/>
  <c r="L85" i="1"/>
  <c r="M85" i="1" s="1"/>
  <c r="L84" i="1"/>
  <c r="M84" i="1" s="1"/>
  <c r="L132" i="1"/>
  <c r="M132" i="1" s="1"/>
  <c r="L134" i="1"/>
  <c r="M134" i="1" s="1"/>
  <c r="F51" i="1"/>
  <c r="F49" i="1"/>
  <c r="F37" i="1"/>
  <c r="F31" i="1"/>
  <c r="F25" i="1"/>
  <c r="F13" i="1"/>
  <c r="F19" i="1"/>
  <c r="F7" i="1"/>
  <c r="F41" i="1"/>
  <c r="F29" i="1"/>
  <c r="F17" i="1"/>
  <c r="F5" i="1"/>
  <c r="F14" i="1"/>
  <c r="F48" i="1"/>
  <c r="F36" i="1"/>
  <c r="F24" i="1"/>
  <c r="F12" i="1"/>
  <c r="F47" i="1"/>
  <c r="F35" i="1"/>
  <c r="F23" i="1"/>
  <c r="F11" i="1"/>
  <c r="F46" i="1"/>
  <c r="F34" i="1"/>
  <c r="F22" i="1"/>
  <c r="F10" i="1"/>
  <c r="F45" i="1"/>
  <c r="F33" i="1"/>
  <c r="F21" i="1"/>
  <c r="F9" i="1"/>
  <c r="F44" i="1"/>
  <c r="F32" i="1"/>
  <c r="F20" i="1"/>
  <c r="F8" i="1"/>
  <c r="F43" i="1"/>
  <c r="F42" i="1"/>
  <c r="F30" i="1"/>
  <c r="F18" i="1"/>
  <c r="F6" i="1"/>
  <c r="F40" i="1"/>
  <c r="F28" i="1"/>
  <c r="F16" i="1"/>
  <c r="F4" i="1"/>
  <c r="F39" i="1"/>
  <c r="F27" i="1"/>
  <c r="F15" i="1"/>
  <c r="F3" i="1"/>
  <c r="F50" i="1"/>
  <c r="F38" i="1"/>
  <c r="F26" i="1"/>
  <c r="F2" i="1"/>
  <c r="XDD1" i="5" l="1"/>
  <c r="H18" i="1"/>
  <c r="I18" i="1"/>
  <c r="H50" i="1"/>
  <c r="I50" i="1"/>
  <c r="H34" i="1"/>
  <c r="I34" i="1"/>
  <c r="H17" i="1"/>
  <c r="I17" i="1"/>
  <c r="H2" i="1"/>
  <c r="I2" i="1"/>
  <c r="H43" i="1"/>
  <c r="I43" i="1"/>
  <c r="H29" i="1"/>
  <c r="I29" i="1"/>
  <c r="H15" i="1"/>
  <c r="I15" i="1"/>
  <c r="H27" i="1"/>
  <c r="I27" i="1"/>
  <c r="H20" i="1"/>
  <c r="I20" i="1"/>
  <c r="H23" i="1"/>
  <c r="I23" i="1"/>
  <c r="H7" i="1"/>
  <c r="I7" i="1"/>
  <c r="H38" i="1"/>
  <c r="I38" i="1"/>
  <c r="H22" i="1"/>
  <c r="I22" i="1"/>
  <c r="H46" i="1"/>
  <c r="I46" i="1"/>
  <c r="H6" i="1"/>
  <c r="I6" i="1"/>
  <c r="H14" i="1"/>
  <c r="I14" i="1"/>
  <c r="H3" i="1"/>
  <c r="I3" i="1"/>
  <c r="H41" i="1"/>
  <c r="I41" i="1"/>
  <c r="H39" i="1"/>
  <c r="I39" i="1"/>
  <c r="H19" i="1"/>
  <c r="I19" i="1"/>
  <c r="H44" i="1"/>
  <c r="I44" i="1"/>
  <c r="H13" i="1"/>
  <c r="I13" i="1"/>
  <c r="H49" i="1"/>
  <c r="I49" i="1"/>
  <c r="H10" i="1"/>
  <c r="I10" i="1"/>
  <c r="H30" i="1"/>
  <c r="I30" i="1"/>
  <c r="H5" i="1"/>
  <c r="I5" i="1"/>
  <c r="H35" i="1"/>
  <c r="I35" i="1"/>
  <c r="H4" i="1"/>
  <c r="I4" i="1"/>
  <c r="H47" i="1"/>
  <c r="I47" i="1"/>
  <c r="H16" i="1"/>
  <c r="I16" i="1"/>
  <c r="H9" i="1"/>
  <c r="I9" i="1"/>
  <c r="H12" i="1"/>
  <c r="I12" i="1"/>
  <c r="H25" i="1"/>
  <c r="I25" i="1"/>
  <c r="H48" i="1"/>
  <c r="I48" i="1"/>
  <c r="H42" i="1"/>
  <c r="I42" i="1"/>
  <c r="H11" i="1"/>
  <c r="I11" i="1"/>
  <c r="H32" i="1"/>
  <c r="I32" i="1"/>
  <c r="H28" i="1"/>
  <c r="I28" i="1"/>
  <c r="H21" i="1"/>
  <c r="I21" i="1"/>
  <c r="H24" i="1"/>
  <c r="I24" i="1"/>
  <c r="H31" i="1"/>
  <c r="I31" i="1"/>
  <c r="H45" i="1"/>
  <c r="I45" i="1"/>
  <c r="H26" i="1"/>
  <c r="I26" i="1"/>
  <c r="H51" i="1"/>
  <c r="I51" i="1"/>
  <c r="H8" i="1"/>
  <c r="I8" i="1"/>
  <c r="H40" i="1"/>
  <c r="I40" i="1"/>
  <c r="H33" i="1"/>
  <c r="I33" i="1"/>
  <c r="H36" i="1"/>
  <c r="I36" i="1"/>
  <c r="H37" i="1"/>
  <c r="I37" i="1"/>
  <c r="L22" i="1"/>
  <c r="M22" i="1" s="1"/>
  <c r="L50" i="1"/>
  <c r="M50" i="1" s="1"/>
  <c r="L29" i="1"/>
  <c r="M29" i="1" s="1"/>
  <c r="L41" i="1"/>
  <c r="M41" i="1" s="1"/>
  <c r="L23" i="1"/>
  <c r="M23" i="1" s="1"/>
  <c r="L39" i="1"/>
  <c r="L13" i="1"/>
  <c r="L34" i="1"/>
  <c r="L5" i="1"/>
  <c r="L42" i="1"/>
  <c r="L46" i="1"/>
  <c r="L31" i="1"/>
  <c r="L19" i="1"/>
  <c r="M19" i="1" s="1"/>
  <c r="L9" i="1"/>
  <c r="M9" i="1" s="1"/>
  <c r="L25" i="1"/>
  <c r="M25" i="1" s="1"/>
  <c r="L21" i="1"/>
  <c r="L24" i="1"/>
  <c r="L40" i="1"/>
  <c r="L33" i="1"/>
  <c r="M33" i="1" s="1"/>
  <c r="L36" i="1"/>
  <c r="L37" i="1"/>
  <c r="L38" i="1"/>
  <c r="L30" i="1"/>
  <c r="M30" i="1" s="1"/>
  <c r="L43" i="1"/>
  <c r="L15" i="1"/>
  <c r="M15" i="1" s="1"/>
  <c r="L11" i="1"/>
  <c r="M11" i="1" s="1"/>
  <c r="L20" i="1"/>
  <c r="M20" i="1" s="1"/>
  <c r="L7" i="1"/>
  <c r="L4" i="1"/>
  <c r="M4" i="1" s="1"/>
  <c r="L44" i="1"/>
  <c r="M44" i="1" s="1"/>
  <c r="L47" i="1"/>
  <c r="M47" i="1" s="1"/>
  <c r="L16" i="1"/>
  <c r="L12" i="1"/>
  <c r="L28" i="1"/>
  <c r="L2" i="1"/>
  <c r="L6" i="1"/>
  <c r="L45" i="1"/>
  <c r="M45" i="1" s="1"/>
  <c r="L48" i="1"/>
  <c r="L49" i="1"/>
  <c r="L17" i="1"/>
  <c r="L3" i="1"/>
  <c r="L8" i="1"/>
  <c r="L27" i="1"/>
  <c r="M27" i="1" s="1"/>
  <c r="L35" i="1"/>
  <c r="L26" i="1"/>
  <c r="M26" i="1" s="1"/>
  <c r="L18" i="1"/>
  <c r="M18" i="1" s="1"/>
  <c r="L10" i="1"/>
  <c r="L14" i="1"/>
  <c r="L51" i="1"/>
  <c r="M51" i="1" s="1"/>
  <c r="L32" i="1"/>
  <c r="M32" i="1" s="1"/>
  <c r="M39" i="1" l="1"/>
  <c r="M13" i="1"/>
  <c r="M8" i="1"/>
  <c r="M40" i="1"/>
  <c r="M17" i="1"/>
  <c r="M37" i="1"/>
  <c r="M10" i="1"/>
  <c r="M38" i="1"/>
  <c r="XDD2" i="5"/>
  <c r="M24" i="1"/>
  <c r="M16" i="1"/>
  <c r="M36" i="1"/>
  <c r="M46" i="1"/>
  <c r="M28" i="1"/>
  <c r="M12" i="1"/>
  <c r="M34" i="1"/>
  <c r="XDD3" i="5"/>
  <c r="M7" i="1"/>
  <c r="M21" i="1"/>
  <c r="M3" i="1"/>
  <c r="M43" i="1"/>
  <c r="M14" i="1"/>
  <c r="XDD5" i="5"/>
  <c r="XDD4" i="5"/>
  <c r="M2" i="1"/>
  <c r="M42" i="1"/>
  <c r="M6" i="1"/>
  <c r="M5" i="1"/>
  <c r="M49" i="1"/>
  <c r="M48" i="1"/>
  <c r="M31" i="1"/>
  <c r="M35" i="1"/>
</calcChain>
</file>

<file path=xl/sharedStrings.xml><?xml version="1.0" encoding="utf-8"?>
<sst xmlns="http://schemas.openxmlformats.org/spreadsheetml/2006/main" count="405" uniqueCount="45">
  <si>
    <t>Date</t>
  </si>
  <si>
    <t>Region</t>
  </si>
  <si>
    <t>Product</t>
  </si>
  <si>
    <t>Units</t>
  </si>
  <si>
    <t>Pen</t>
  </si>
  <si>
    <t>Notebook</t>
  </si>
  <si>
    <t>Marker</t>
  </si>
  <si>
    <t>West</t>
  </si>
  <si>
    <t>South</t>
  </si>
  <si>
    <t>North</t>
  </si>
  <si>
    <t>Ball</t>
  </si>
  <si>
    <t>Discount</t>
  </si>
  <si>
    <t>Profit</t>
  </si>
  <si>
    <t>Cost_per_unit</t>
  </si>
  <si>
    <t>East</t>
  </si>
  <si>
    <t>west</t>
  </si>
  <si>
    <t>Badminton Shuttle</t>
  </si>
  <si>
    <t>Glue Stick</t>
  </si>
  <si>
    <t>Calculator</t>
  </si>
  <si>
    <t>Water Bottle</t>
  </si>
  <si>
    <t>File Folder</t>
  </si>
  <si>
    <t>Stapler</t>
  </si>
  <si>
    <t>Category</t>
  </si>
  <si>
    <t>Month_Start</t>
  </si>
  <si>
    <t>Gross Sales</t>
  </si>
  <si>
    <t>Discount_Amount</t>
  </si>
  <si>
    <t>Net_Sales</t>
  </si>
  <si>
    <t>Price_per_unit</t>
  </si>
  <si>
    <t>Row Labels</t>
  </si>
  <si>
    <t>Grand Total</t>
  </si>
  <si>
    <t>Sum of Net_Sales</t>
  </si>
  <si>
    <t>Sum of Profit</t>
  </si>
  <si>
    <t>Products</t>
  </si>
  <si>
    <t>Sum of Gross Sales</t>
  </si>
  <si>
    <t>Sum of Discount_Amount</t>
  </si>
  <si>
    <t>Total_Cost</t>
  </si>
  <si>
    <t>Sum of Total_Cost</t>
  </si>
  <si>
    <t>Jan</t>
  </si>
  <si>
    <t>Feb</t>
  </si>
  <si>
    <t>Mar</t>
  </si>
  <si>
    <t>Profit_Margin</t>
  </si>
  <si>
    <t>Average of Profit_Margin</t>
  </si>
  <si>
    <t>Months &amp; Dates</t>
  </si>
  <si>
    <t>Average of Discount_Amount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</si>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</sst>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0" xfId="0" applyFont="1"/>
    <xf numFmtId="14" fontId="0" fillId="0" borderId="0" xfId="0" applyNumberFormat="1"/>
    <xf numFmtId="164" fontId="0" fillId="0" borderId="0" xfId="0" applyNumberFormat="1"/>
    <xf numFmtId="164" fontId="1" fillId="0" borderId="0" xfId="0" applyNumberFormat="1" applyFont="1"/>
    <xf numFmtId="2" fontId="1" fillId="0" borderId="0" xfId="0" applyNumberFormat="1" applyFont="1"/>
    <xf numFmtId="2"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1" applyNumberFormat="1" applyFont="1"/>
    <xf numFmtId="165" fontId="0" fillId="0" borderId="0" xfId="0" applyNumberFormat="1"/>
    <xf numFmtId="10" fontId="0" fillId="0" borderId="0" xfId="1" applyNumberFormat="1" applyFont="1"/>
    <xf numFmtId="0" fontId="0" fillId="0" borderId="0" xfId="0" applyAlignment="1">
      <alignment vertical="center"/>
    </xf>
  </cellXfs>
  <cellStyles count="2">
    <cellStyle name="Normal" xfId="0" builtinId="0"/>
    <cellStyle name="Percent" xfId="1" builtinId="5"/>
  </cellStyles>
  <dxfs count="24">
    <dxf>
      <font>
        <color theme="0"/>
      </font>
      <fill>
        <patternFill>
          <bgColor rgb="FFFF0000"/>
        </patternFill>
      </fill>
    </dxf>
    <dxf>
      <numFmt numFmtId="164" formatCode="&quot;₹&quot;\ #,##0.00"/>
    </dxf>
    <dxf>
      <numFmt numFmtId="19" formatCode="dd/mm/yyyy"/>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1"/>
        <color theme="1"/>
        <name val="Aptos Narrow"/>
        <family val="2"/>
        <scheme val="minor"/>
      </font>
      <numFmt numFmtId="164" formatCode="&quot;₹&quot;\ #,##0.00"/>
    </dxf>
    <dxf>
      <numFmt numFmtId="164" formatCode="&quot;₹&quot;\ #,##0.00"/>
    </dxf>
    <dxf>
      <font>
        <b val="0"/>
        <i val="0"/>
        <strike val="0"/>
        <condense val="0"/>
        <extend val="0"/>
        <outline val="0"/>
        <shadow val="0"/>
        <u val="none"/>
        <vertAlign val="baseline"/>
        <sz val="11"/>
        <color theme="1"/>
        <name val="Aptos Narrow"/>
        <family val="2"/>
        <scheme val="minor"/>
      </font>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i="1"/>
              <a:t>Discount &amp; Profit 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strRef>
              <c:f>Chart_Discount_Profit!$B$1</c:f>
              <c:strCache>
                <c:ptCount val="1"/>
                <c:pt idx="0">
                  <c:v>Average of Profit</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strRef>
              <c:f>Chart_Discount_Profit!$A$2:$A$11</c:f>
              <c:strCache>
                <c:ptCount val="10"/>
                <c:pt idx="0">
                  <c:v>Badminton Shuttle</c:v>
                </c:pt>
                <c:pt idx="1">
                  <c:v>Ball</c:v>
                </c:pt>
                <c:pt idx="2">
                  <c:v>Calculator</c:v>
                </c:pt>
                <c:pt idx="3">
                  <c:v>File Folder</c:v>
                </c:pt>
                <c:pt idx="4">
                  <c:v>Glue Stick</c:v>
                </c:pt>
                <c:pt idx="5">
                  <c:v>Marker</c:v>
                </c:pt>
                <c:pt idx="6">
                  <c:v>Notebook</c:v>
                </c:pt>
                <c:pt idx="7">
                  <c:v>Pen</c:v>
                </c:pt>
                <c:pt idx="8">
                  <c:v>Stapler</c:v>
                </c:pt>
                <c:pt idx="9">
                  <c:v>Water Bottle</c:v>
                </c:pt>
              </c:strCache>
            </c:strRef>
          </c:xVal>
          <c:yVal>
            <c:numRef>
              <c:f>Chart_Discount_Profit!$B$2:$B$11</c:f>
              <c:numCache>
                <c:formatCode>General</c:formatCode>
                <c:ptCount val="10"/>
                <c:pt idx="0">
                  <c:v>222.96352941176474</c:v>
                </c:pt>
                <c:pt idx="1">
                  <c:v>721.18115384615385</c:v>
                </c:pt>
                <c:pt idx="2">
                  <c:v>821.66769230769228</c:v>
                </c:pt>
                <c:pt idx="3">
                  <c:v>626.32812499999989</c:v>
                </c:pt>
                <c:pt idx="4">
                  <c:v>-297.08785714285733</c:v>
                </c:pt>
                <c:pt idx="5">
                  <c:v>273.89928571428567</c:v>
                </c:pt>
                <c:pt idx="6">
                  <c:v>-175.85142857142844</c:v>
                </c:pt>
                <c:pt idx="7">
                  <c:v>998.16117647058809</c:v>
                </c:pt>
                <c:pt idx="8">
                  <c:v>65.36583333333347</c:v>
                </c:pt>
                <c:pt idx="9">
                  <c:v>-516.49499999999989</c:v>
                </c:pt>
              </c:numCache>
            </c:numRef>
          </c:yVal>
          <c:smooth val="1"/>
          <c:extLst>
            <c:ext xmlns:c16="http://schemas.microsoft.com/office/drawing/2014/chart" uri="{C3380CC4-5D6E-409C-BE32-E72D297353CC}">
              <c16:uniqueId val="{00000000-1303-4A01-B04C-EF3800917B32}"/>
            </c:ext>
          </c:extLst>
        </c:ser>
        <c:ser>
          <c:idx val="1"/>
          <c:order val="1"/>
          <c:tx>
            <c:strRef>
              <c:f>Chart_Discount_Profit!$C$1</c:f>
              <c:strCache>
                <c:ptCount val="1"/>
                <c:pt idx="0">
                  <c:v>Average of Discount_Amount</c:v>
                </c:pt>
              </c:strCache>
            </c:strRef>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strRef>
              <c:f>Chart_Discount_Profit!$A$2:$A$11</c:f>
              <c:strCache>
                <c:ptCount val="10"/>
                <c:pt idx="0">
                  <c:v>Badminton Shuttle</c:v>
                </c:pt>
                <c:pt idx="1">
                  <c:v>Ball</c:v>
                </c:pt>
                <c:pt idx="2">
                  <c:v>Calculator</c:v>
                </c:pt>
                <c:pt idx="3">
                  <c:v>File Folder</c:v>
                </c:pt>
                <c:pt idx="4">
                  <c:v>Glue Stick</c:v>
                </c:pt>
                <c:pt idx="5">
                  <c:v>Marker</c:v>
                </c:pt>
                <c:pt idx="6">
                  <c:v>Notebook</c:v>
                </c:pt>
                <c:pt idx="7">
                  <c:v>Pen</c:v>
                </c:pt>
                <c:pt idx="8">
                  <c:v>Stapler</c:v>
                </c:pt>
                <c:pt idx="9">
                  <c:v>Water Bottle</c:v>
                </c:pt>
              </c:strCache>
            </c:strRef>
          </c:xVal>
          <c:yVal>
            <c:numRef>
              <c:f>Chart_Discount_Profit!$C$2:$C$11</c:f>
              <c:numCache>
                <c:formatCode>General</c:formatCode>
                <c:ptCount val="10"/>
                <c:pt idx="0">
                  <c:v>2436.1729411764704</c:v>
                </c:pt>
                <c:pt idx="1">
                  <c:v>3764.1323076923072</c:v>
                </c:pt>
                <c:pt idx="2">
                  <c:v>3485.917692307693</c:v>
                </c:pt>
                <c:pt idx="3">
                  <c:v>5014.7787499999995</c:v>
                </c:pt>
                <c:pt idx="4">
                  <c:v>4358.551428571428</c:v>
                </c:pt>
                <c:pt idx="5">
                  <c:v>2294.5921428571432</c:v>
                </c:pt>
                <c:pt idx="6">
                  <c:v>3431.0342857142859</c:v>
                </c:pt>
                <c:pt idx="7">
                  <c:v>3144.5023529411765</c:v>
                </c:pt>
                <c:pt idx="8">
                  <c:v>2809.7941666666666</c:v>
                </c:pt>
                <c:pt idx="9">
                  <c:v>4132.4835714285709</c:v>
                </c:pt>
              </c:numCache>
            </c:numRef>
          </c:yVal>
          <c:smooth val="1"/>
          <c:extLst>
            <c:ext xmlns:c16="http://schemas.microsoft.com/office/drawing/2014/chart" uri="{C3380CC4-5D6E-409C-BE32-E72D297353CC}">
              <c16:uniqueId val="{00000001-1303-4A01-B04C-EF3800917B32}"/>
            </c:ext>
          </c:extLst>
        </c:ser>
        <c:dLbls>
          <c:showLegendKey val="0"/>
          <c:showVal val="0"/>
          <c:showCatName val="0"/>
          <c:showSerName val="0"/>
          <c:showPercent val="0"/>
          <c:showBubbleSize val="0"/>
        </c:dLbls>
        <c:axId val="461059615"/>
        <c:axId val="461061055"/>
      </c:scatterChart>
      <c:valAx>
        <c:axId val="461059615"/>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061055"/>
        <c:crosses val="autoZero"/>
        <c:crossBetween val="midCat"/>
      </c:valAx>
      <c:valAx>
        <c:axId val="4610610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0596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[Retail_Sales_Dashboard_v1.xlsx]Pivots!PivotTable2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0" i="1"/>
              <a:t>Net</a:t>
            </a:r>
            <a:r>
              <a:rPr lang="en-US" b="0" i="1" baseline="0"/>
              <a:t> 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pattFill prst="ltUpDiag">
              <a:fgClr>
                <a:schemeClr val="accent1"/>
              </a:fgClr>
              <a:bgClr>
                <a:schemeClr val="lt1"/>
              </a:bgClr>
            </a:pattFill>
            <a:ln>
              <a:noFill/>
            </a:ln>
            <a:effectLst/>
          </c:spPr>
          <c:invertIfNegative val="0"/>
          <c:cat>
            <c:strRef>
              <c:f>Pivots!$A$4:$A$8</c:f>
              <c:strCache>
                <c:ptCount val="4"/>
                <c:pt idx="0">
                  <c:v>North</c:v>
                </c:pt>
                <c:pt idx="1">
                  <c:v>East</c:v>
                </c:pt>
                <c:pt idx="2">
                  <c:v>West</c:v>
                </c:pt>
                <c:pt idx="3">
                  <c:v>South</c:v>
                </c:pt>
              </c:strCache>
            </c:strRef>
          </c:cat>
          <c:val>
            <c:numRef>
              <c:f>Pivots!$B$4:$B$8</c:f>
              <c:numCache>
                <c:formatCode>0.00</c:formatCode>
                <c:ptCount val="4"/>
                <c:pt idx="0">
                  <c:v>132786.62999999998</c:v>
                </c:pt>
                <c:pt idx="1">
                  <c:v>108772.87000000001</c:v>
                </c:pt>
                <c:pt idx="2">
                  <c:v>102330.11999999998</c:v>
                </c:pt>
                <c:pt idx="3">
                  <c:v>91797.52</c:v>
                </c:pt>
              </c:numCache>
            </c:numRef>
          </c:val>
          <c:extLst>
            <c:ext xmlns:c16="http://schemas.microsoft.com/office/drawing/2014/chart" uri="{C3380CC4-5D6E-409C-BE32-E72D297353CC}">
              <c16:uniqueId val="{00000000-3C73-4D20-91EA-F4B51E1C63DA}"/>
            </c:ext>
          </c:extLst>
        </c:ser>
        <c:dLbls>
          <c:showLegendKey val="0"/>
          <c:showVal val="0"/>
          <c:showCatName val="0"/>
          <c:showSerName val="0"/>
          <c:showPercent val="0"/>
          <c:showBubbleSize val="0"/>
        </c:dLbls>
        <c:gapWidth val="269"/>
        <c:overlap val="-20"/>
        <c:axId val="1125802096"/>
        <c:axId val="1125789136"/>
      </c:barChart>
      <c:catAx>
        <c:axId val="11258020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25789136"/>
        <c:crosses val="autoZero"/>
        <c:auto val="1"/>
        <c:lblAlgn val="ctr"/>
        <c:lblOffset val="100"/>
        <c:noMultiLvlLbl val="0"/>
      </c:catAx>
      <c:valAx>
        <c:axId val="1125789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580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[Retail_Sales_Dashboard_v1.xlsx]Pivots!PivotTable5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i="1"/>
              <a:t>Profit</a:t>
            </a:r>
            <a:r>
              <a:rPr lang="en-US" b="0" i="1" baseline="0"/>
              <a:t> by Product </a:t>
            </a:r>
            <a:endParaRPr lang="en-US" b="0" i="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Pivots!$D$4:$D$14</c:f>
              <c:strCache>
                <c:ptCount val="10"/>
                <c:pt idx="0">
                  <c:v>Ball</c:v>
                </c:pt>
                <c:pt idx="1">
                  <c:v>Pen</c:v>
                </c:pt>
                <c:pt idx="2">
                  <c:v>Calculator</c:v>
                </c:pt>
                <c:pt idx="3">
                  <c:v>File Folder</c:v>
                </c:pt>
                <c:pt idx="4">
                  <c:v>Marker</c:v>
                </c:pt>
                <c:pt idx="5">
                  <c:v>Badminton Shuttle</c:v>
                </c:pt>
                <c:pt idx="6">
                  <c:v>Stapler</c:v>
                </c:pt>
                <c:pt idx="7">
                  <c:v>Notebook</c:v>
                </c:pt>
                <c:pt idx="8">
                  <c:v>Glue Stick</c:v>
                </c:pt>
                <c:pt idx="9">
                  <c:v>Water Bottle</c:v>
                </c:pt>
              </c:strCache>
            </c:strRef>
          </c:cat>
          <c:val>
            <c:numRef>
              <c:f>Pivots!$E$4:$E$14</c:f>
              <c:numCache>
                <c:formatCode>"₹"\ #,##0.00</c:formatCode>
                <c:ptCount val="10"/>
                <c:pt idx="0">
                  <c:v>18750.71</c:v>
                </c:pt>
                <c:pt idx="1">
                  <c:v>16968.739999999998</c:v>
                </c:pt>
                <c:pt idx="2">
                  <c:v>10681.68</c:v>
                </c:pt>
                <c:pt idx="3">
                  <c:v>10021.249999999998</c:v>
                </c:pt>
                <c:pt idx="4">
                  <c:v>3834.5899999999997</c:v>
                </c:pt>
                <c:pt idx="5">
                  <c:v>3790.3800000000006</c:v>
                </c:pt>
                <c:pt idx="6">
                  <c:v>784.39000000000169</c:v>
                </c:pt>
                <c:pt idx="7">
                  <c:v>-1230.9599999999991</c:v>
                </c:pt>
                <c:pt idx="8">
                  <c:v>-4159.2300000000023</c:v>
                </c:pt>
                <c:pt idx="9">
                  <c:v>-7230.9299999999985</c:v>
                </c:pt>
              </c:numCache>
            </c:numRef>
          </c:val>
          <c:extLst>
            <c:ext xmlns:c16="http://schemas.microsoft.com/office/drawing/2014/chart" uri="{C3380CC4-5D6E-409C-BE32-E72D297353CC}">
              <c16:uniqueId val="{00000000-9763-4FDD-A4BB-A8A55659A110}"/>
            </c:ext>
          </c:extLst>
        </c:ser>
        <c:dLbls>
          <c:showLegendKey val="0"/>
          <c:showVal val="0"/>
          <c:showCatName val="0"/>
          <c:showSerName val="0"/>
          <c:showPercent val="0"/>
          <c:showBubbleSize val="0"/>
        </c:dLbls>
        <c:gapWidth val="115"/>
        <c:overlap val="-20"/>
        <c:axId val="1264145616"/>
        <c:axId val="1264129296"/>
      </c:barChart>
      <c:catAx>
        <c:axId val="1264145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4129296"/>
        <c:crosses val="autoZero"/>
        <c:auto val="1"/>
        <c:lblAlgn val="ctr"/>
        <c:lblOffset val="100"/>
        <c:noMultiLvlLbl val="0"/>
      </c:catAx>
      <c:valAx>
        <c:axId val="1264129296"/>
        <c:scaling>
          <c:orientation val="minMax"/>
        </c:scaling>
        <c:delete val="1"/>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crossAx val="126414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[Retail_Sales_Dashboard_v1.xlsx]Pivots!PivotTable6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b="1" i="1" u="sng">
                <a:solidFill>
                  <a:schemeClr val="tx1"/>
                </a:solidFill>
              </a:rPr>
              <a:t>Gross,</a:t>
            </a:r>
            <a:r>
              <a:rPr lang="en-IN" sz="1400" b="1" i="1" u="sng" baseline="0">
                <a:solidFill>
                  <a:schemeClr val="tx1"/>
                </a:solidFill>
              </a:rPr>
              <a:t> Discount, Net, Cost &amp; Profit</a:t>
            </a:r>
            <a:endParaRPr lang="en-IN" sz="1400" b="1" i="1" u="sng">
              <a:solidFill>
                <a:schemeClr val="tx1"/>
              </a:solidFill>
            </a:endParaRPr>
          </a:p>
        </c:rich>
      </c:tx>
      <c:layout>
        <c:manualLayout>
          <c:xMode val="edge"/>
          <c:yMode val="edge"/>
          <c:x val="0.15041423001949317"/>
          <c:y val="8.231262758821814E-2"/>
        </c:manualLayout>
      </c:layout>
      <c:overlay val="1"/>
      <c:spPr>
        <a:solidFill>
          <a:schemeClr val="accent3">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c:f>
              <c:strCache>
                <c:ptCount val="1"/>
                <c:pt idx="0">
                  <c:v>Sum of Gross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Pivots!$A$20:$A$24</c:f>
              <c:strCache>
                <c:ptCount val="4"/>
                <c:pt idx="0">
                  <c:v>North</c:v>
                </c:pt>
                <c:pt idx="1">
                  <c:v>East</c:v>
                </c:pt>
                <c:pt idx="2">
                  <c:v>West</c:v>
                </c:pt>
                <c:pt idx="3">
                  <c:v>South</c:v>
                </c:pt>
              </c:strCache>
            </c:strRef>
          </c:cat>
          <c:val>
            <c:numRef>
              <c:f>Pivots!$B$20:$B$24</c:f>
              <c:numCache>
                <c:formatCode>"₹"\ #,##0.00</c:formatCode>
                <c:ptCount val="4"/>
                <c:pt idx="0">
                  <c:v>281915</c:v>
                </c:pt>
                <c:pt idx="1">
                  <c:v>238803</c:v>
                </c:pt>
                <c:pt idx="2">
                  <c:v>227570</c:v>
                </c:pt>
                <c:pt idx="3">
                  <c:v>214425</c:v>
                </c:pt>
              </c:numCache>
            </c:numRef>
          </c:val>
          <c:extLst>
            <c:ext xmlns:c16="http://schemas.microsoft.com/office/drawing/2014/chart" uri="{C3380CC4-5D6E-409C-BE32-E72D297353CC}">
              <c16:uniqueId val="{00000000-CF4A-4F81-AEF6-947218EFC3B2}"/>
            </c:ext>
          </c:extLst>
        </c:ser>
        <c:ser>
          <c:idx val="1"/>
          <c:order val="1"/>
          <c:tx>
            <c:strRef>
              <c:f>Pivots!$C$19</c:f>
              <c:strCache>
                <c:ptCount val="1"/>
                <c:pt idx="0">
                  <c:v>Sum of Discount_Amount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Pivots!$A$20:$A$24</c:f>
              <c:strCache>
                <c:ptCount val="4"/>
                <c:pt idx="0">
                  <c:v>North</c:v>
                </c:pt>
                <c:pt idx="1">
                  <c:v>East</c:v>
                </c:pt>
                <c:pt idx="2">
                  <c:v>West</c:v>
                </c:pt>
                <c:pt idx="3">
                  <c:v>South</c:v>
                </c:pt>
              </c:strCache>
            </c:strRef>
          </c:cat>
          <c:val>
            <c:numRef>
              <c:f>Pivots!$C$20:$C$24</c:f>
              <c:numCache>
                <c:formatCode>0.00</c:formatCode>
                <c:ptCount val="4"/>
                <c:pt idx="0">
                  <c:v>149128.36999999994</c:v>
                </c:pt>
                <c:pt idx="1">
                  <c:v>130030.13000000002</c:v>
                </c:pt>
                <c:pt idx="2">
                  <c:v>125239.88</c:v>
                </c:pt>
                <c:pt idx="3">
                  <c:v>122627.48</c:v>
                </c:pt>
              </c:numCache>
            </c:numRef>
          </c:val>
          <c:extLst>
            <c:ext xmlns:c16="http://schemas.microsoft.com/office/drawing/2014/chart" uri="{C3380CC4-5D6E-409C-BE32-E72D297353CC}">
              <c16:uniqueId val="{00000001-CF4A-4F81-AEF6-947218EFC3B2}"/>
            </c:ext>
          </c:extLst>
        </c:ser>
        <c:ser>
          <c:idx val="2"/>
          <c:order val="2"/>
          <c:tx>
            <c:strRef>
              <c:f>Pivots!$D$19</c:f>
              <c:strCache>
                <c:ptCount val="1"/>
                <c:pt idx="0">
                  <c:v>Sum of Net_Sales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Pivots!$A$20:$A$24</c:f>
              <c:strCache>
                <c:ptCount val="4"/>
                <c:pt idx="0">
                  <c:v>North</c:v>
                </c:pt>
                <c:pt idx="1">
                  <c:v>East</c:v>
                </c:pt>
                <c:pt idx="2">
                  <c:v>West</c:v>
                </c:pt>
                <c:pt idx="3">
                  <c:v>South</c:v>
                </c:pt>
              </c:strCache>
            </c:strRef>
          </c:cat>
          <c:val>
            <c:numRef>
              <c:f>Pivots!$D$20:$D$24</c:f>
              <c:numCache>
                <c:formatCode>0.00</c:formatCode>
                <c:ptCount val="4"/>
                <c:pt idx="0">
                  <c:v>132786.62999999998</c:v>
                </c:pt>
                <c:pt idx="1">
                  <c:v>108772.87000000001</c:v>
                </c:pt>
                <c:pt idx="2">
                  <c:v>102330.11999999998</c:v>
                </c:pt>
                <c:pt idx="3">
                  <c:v>91797.52</c:v>
                </c:pt>
              </c:numCache>
            </c:numRef>
          </c:val>
          <c:extLst>
            <c:ext xmlns:c16="http://schemas.microsoft.com/office/drawing/2014/chart" uri="{C3380CC4-5D6E-409C-BE32-E72D297353CC}">
              <c16:uniqueId val="{00000002-CF4A-4F81-AEF6-947218EFC3B2}"/>
            </c:ext>
          </c:extLst>
        </c:ser>
        <c:ser>
          <c:idx val="3"/>
          <c:order val="3"/>
          <c:tx>
            <c:strRef>
              <c:f>Pivots!$E$19</c:f>
              <c:strCache>
                <c:ptCount val="1"/>
                <c:pt idx="0">
                  <c:v>Sum of Total_Cost</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Pivots!$A$20:$A$24</c:f>
              <c:strCache>
                <c:ptCount val="4"/>
                <c:pt idx="0">
                  <c:v>North</c:v>
                </c:pt>
                <c:pt idx="1">
                  <c:v>East</c:v>
                </c:pt>
                <c:pt idx="2">
                  <c:v>West</c:v>
                </c:pt>
                <c:pt idx="3">
                  <c:v>South</c:v>
                </c:pt>
              </c:strCache>
            </c:strRef>
          </c:cat>
          <c:val>
            <c:numRef>
              <c:f>Pivots!$E$20:$E$24</c:f>
              <c:numCache>
                <c:formatCode>"₹"\ #,##0.00</c:formatCode>
                <c:ptCount val="4"/>
                <c:pt idx="0">
                  <c:v>107927.77000000002</c:v>
                </c:pt>
                <c:pt idx="1">
                  <c:v>100197.52000000003</c:v>
                </c:pt>
                <c:pt idx="2">
                  <c:v>94785.040000000008</c:v>
                </c:pt>
                <c:pt idx="3">
                  <c:v>80566.19</c:v>
                </c:pt>
              </c:numCache>
            </c:numRef>
          </c:val>
          <c:extLst>
            <c:ext xmlns:c16="http://schemas.microsoft.com/office/drawing/2014/chart" uri="{C3380CC4-5D6E-409C-BE32-E72D297353CC}">
              <c16:uniqueId val="{00000003-CF4A-4F81-AEF6-947218EFC3B2}"/>
            </c:ext>
          </c:extLst>
        </c:ser>
        <c:ser>
          <c:idx val="4"/>
          <c:order val="4"/>
          <c:tx>
            <c:strRef>
              <c:f>Pivots!$F$19</c:f>
              <c:strCache>
                <c:ptCount val="1"/>
                <c:pt idx="0">
                  <c:v>Sum of Profit</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Pivots!$A$20:$A$24</c:f>
              <c:strCache>
                <c:ptCount val="4"/>
                <c:pt idx="0">
                  <c:v>North</c:v>
                </c:pt>
                <c:pt idx="1">
                  <c:v>East</c:v>
                </c:pt>
                <c:pt idx="2">
                  <c:v>West</c:v>
                </c:pt>
                <c:pt idx="3">
                  <c:v>South</c:v>
                </c:pt>
              </c:strCache>
            </c:strRef>
          </c:cat>
          <c:val>
            <c:numRef>
              <c:f>Pivots!$F$20:$F$24</c:f>
              <c:numCache>
                <c:formatCode>"₹"\ #,##0.00</c:formatCode>
                <c:ptCount val="4"/>
                <c:pt idx="0">
                  <c:v>24858.86</c:v>
                </c:pt>
                <c:pt idx="1">
                  <c:v>8575.35</c:v>
                </c:pt>
                <c:pt idx="2">
                  <c:v>7545.0800000000054</c:v>
                </c:pt>
                <c:pt idx="3">
                  <c:v>11231.330000000002</c:v>
                </c:pt>
              </c:numCache>
            </c:numRef>
          </c:val>
          <c:extLst>
            <c:ext xmlns:c16="http://schemas.microsoft.com/office/drawing/2014/chart" uri="{C3380CC4-5D6E-409C-BE32-E72D297353CC}">
              <c16:uniqueId val="{00000004-CF4A-4F81-AEF6-947218EFC3B2}"/>
            </c:ext>
          </c:extLst>
        </c:ser>
        <c:dLbls>
          <c:showLegendKey val="0"/>
          <c:showVal val="0"/>
          <c:showCatName val="0"/>
          <c:showSerName val="0"/>
          <c:showPercent val="0"/>
          <c:showBubbleSize val="0"/>
        </c:dLbls>
        <c:gapWidth val="164"/>
        <c:overlap val="-22"/>
        <c:axId val="1448296272"/>
        <c:axId val="1448299632"/>
      </c:barChart>
      <c:catAx>
        <c:axId val="14482962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99632"/>
        <c:crosses val="autoZero"/>
        <c:auto val="1"/>
        <c:lblAlgn val="ctr"/>
        <c:lblOffset val="100"/>
        <c:noMultiLvlLbl val="0"/>
      </c:catAx>
      <c:valAx>
        <c:axId val="14482996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[Retail_Sales_Dashboard_v1.xlsx]Pivots!PivotTable7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t>
            </a:r>
            <a:r>
              <a:rPr lang="en-IN" b="0" i="1"/>
              <a:t>Trend by Month (or Date)</a:t>
            </a:r>
            <a:endParaRPr lang="en-IN"/>
          </a:p>
        </c:rich>
      </c:tx>
      <c:layout>
        <c:manualLayout>
          <c:xMode val="edge"/>
          <c:yMode val="edge"/>
          <c:x val="0.40104778981835193"/>
          <c:y val="4.6969618993704221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Pivots!$I$3</c:f>
              <c:strCache>
                <c:ptCount val="1"/>
                <c:pt idx="0">
                  <c:v>Sum of Net_Sales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Pivots!$H$4:$H$10</c:f>
              <c:multiLvlStrCache>
                <c:ptCount val="3"/>
                <c:lvl>
                  <c:pt idx="0">
                    <c:v>Jan</c:v>
                  </c:pt>
                  <c:pt idx="1">
                    <c:v>Feb</c:v>
                  </c:pt>
                  <c:pt idx="2">
                    <c:v>Mar</c:v>
                  </c:pt>
                </c:lvl>
                <c:lvl>
                  <c:pt idx="0">
                    <c:v>Jan</c:v>
                  </c:pt>
                  <c:pt idx="1">
                    <c:v>Feb</c:v>
                  </c:pt>
                  <c:pt idx="2">
                    <c:v>Mar</c:v>
                  </c:pt>
                </c:lvl>
              </c:multiLvlStrCache>
            </c:multiLvlStrRef>
          </c:cat>
          <c:val>
            <c:numRef>
              <c:f>Pivots!$I$4:$I$10</c:f>
              <c:numCache>
                <c:formatCode>"₹"\ #,##0</c:formatCode>
                <c:ptCount val="3"/>
                <c:pt idx="0">
                  <c:v>146633.23000000004</c:v>
                </c:pt>
                <c:pt idx="1">
                  <c:v>112841.68000000002</c:v>
                </c:pt>
                <c:pt idx="2">
                  <c:v>176212.22999999998</c:v>
                </c:pt>
              </c:numCache>
            </c:numRef>
          </c:val>
          <c:smooth val="0"/>
          <c:extLst>
            <c:ext xmlns:c16="http://schemas.microsoft.com/office/drawing/2014/chart" uri="{C3380CC4-5D6E-409C-BE32-E72D297353CC}">
              <c16:uniqueId val="{00000000-B570-4965-9AD6-DA0B2B3F6F91}"/>
            </c:ext>
          </c:extLst>
        </c:ser>
        <c:dLbls>
          <c:showLegendKey val="0"/>
          <c:showVal val="0"/>
          <c:showCatName val="0"/>
          <c:showSerName val="0"/>
          <c:showPercent val="0"/>
          <c:showBubbleSize val="0"/>
        </c:dLbls>
        <c:marker val="1"/>
        <c:smooth val="0"/>
        <c:axId val="1908251360"/>
        <c:axId val="1908264320"/>
      </c:lineChart>
      <c:lineChart>
        <c:grouping val="stacked"/>
        <c:varyColors val="0"/>
        <c:ser>
          <c:idx val="1"/>
          <c:order val="1"/>
          <c:tx>
            <c:strRef>
              <c:f>Pivots!$J$3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Pivots!$H$4:$H$10</c:f>
              <c:multiLvlStrCache>
                <c:ptCount val="3"/>
                <c:lvl>
                  <c:pt idx="0">
                    <c:v>Jan</c:v>
                  </c:pt>
                  <c:pt idx="1">
                    <c:v>Feb</c:v>
                  </c:pt>
                  <c:pt idx="2">
                    <c:v>Mar</c:v>
                  </c:pt>
                </c:lvl>
                <c:lvl>
                  <c:pt idx="0">
                    <c:v>Jan</c:v>
                  </c:pt>
                  <c:pt idx="1">
                    <c:v>Feb</c:v>
                  </c:pt>
                  <c:pt idx="2">
                    <c:v>Mar</c:v>
                  </c:pt>
                </c:lvl>
              </c:multiLvlStrCache>
            </c:multiLvlStrRef>
          </c:cat>
          <c:val>
            <c:numRef>
              <c:f>Pivots!$J$4:$J$10</c:f>
              <c:numCache>
                <c:formatCode>"₹"\ #,##0.00</c:formatCode>
                <c:ptCount val="3"/>
                <c:pt idx="0">
                  <c:v>25865.579999999987</c:v>
                </c:pt>
                <c:pt idx="1">
                  <c:v>-14103.509999999995</c:v>
                </c:pt>
                <c:pt idx="2">
                  <c:v>40448.55000000001</c:v>
                </c:pt>
              </c:numCache>
            </c:numRef>
          </c:val>
          <c:smooth val="0"/>
          <c:extLst>
            <c:ext xmlns:c16="http://schemas.microsoft.com/office/drawing/2014/chart" uri="{C3380CC4-5D6E-409C-BE32-E72D297353CC}">
              <c16:uniqueId val="{00000001-B570-4965-9AD6-DA0B2B3F6F91}"/>
            </c:ext>
          </c:extLst>
        </c:ser>
        <c:dLbls>
          <c:showLegendKey val="0"/>
          <c:showVal val="0"/>
          <c:showCatName val="0"/>
          <c:showSerName val="0"/>
          <c:showPercent val="0"/>
          <c:showBubbleSize val="0"/>
        </c:dLbls>
        <c:marker val="1"/>
        <c:smooth val="0"/>
        <c:axId val="1448268432"/>
        <c:axId val="1448280432"/>
      </c:lineChart>
      <c:catAx>
        <c:axId val="1908251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264320"/>
        <c:crosses val="autoZero"/>
        <c:auto val="1"/>
        <c:lblAlgn val="ctr"/>
        <c:lblOffset val="100"/>
        <c:noMultiLvlLbl val="0"/>
      </c:catAx>
      <c:valAx>
        <c:axId val="19082643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251360"/>
        <c:crosses val="autoZero"/>
        <c:crossBetween val="between"/>
      </c:valAx>
      <c:valAx>
        <c:axId val="1448280432"/>
        <c:scaling>
          <c:orientation val="minMax"/>
        </c:scaling>
        <c:delete val="0"/>
        <c:axPos val="r"/>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8268432"/>
        <c:crosses val="max"/>
        <c:crossBetween val="between"/>
      </c:valAx>
      <c:catAx>
        <c:axId val="1448268432"/>
        <c:scaling>
          <c:orientation val="minMax"/>
        </c:scaling>
        <c:delete val="1"/>
        <c:axPos val="b"/>
        <c:numFmt formatCode="General" sourceLinked="1"/>
        <c:majorTickMark val="none"/>
        <c:minorTickMark val="none"/>
        <c:tickLblPos val="nextTo"/>
        <c:crossAx val="1448280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i="1"/>
              <a:t>Discount &amp; Profit 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strRef>
              <c:f>Chart_Discount_Profit!$B$1</c:f>
              <c:strCache>
                <c:ptCount val="1"/>
                <c:pt idx="0">
                  <c:v>Average of Profit</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strRef>
              <c:f>Chart_Discount_Profit!$A$2:$A$11</c:f>
              <c:strCache>
                <c:ptCount val="10"/>
                <c:pt idx="0">
                  <c:v>Badminton Shuttle</c:v>
                </c:pt>
                <c:pt idx="1">
                  <c:v>Ball</c:v>
                </c:pt>
                <c:pt idx="2">
                  <c:v>Calculator</c:v>
                </c:pt>
                <c:pt idx="3">
                  <c:v>File Folder</c:v>
                </c:pt>
                <c:pt idx="4">
                  <c:v>Glue Stick</c:v>
                </c:pt>
                <c:pt idx="5">
                  <c:v>Marker</c:v>
                </c:pt>
                <c:pt idx="6">
                  <c:v>Notebook</c:v>
                </c:pt>
                <c:pt idx="7">
                  <c:v>Pen</c:v>
                </c:pt>
                <c:pt idx="8">
                  <c:v>Stapler</c:v>
                </c:pt>
                <c:pt idx="9">
                  <c:v>Water Bottle</c:v>
                </c:pt>
              </c:strCache>
            </c:strRef>
          </c:xVal>
          <c:yVal>
            <c:numRef>
              <c:f>Chart_Discount_Profit!$B$2:$B$11</c:f>
              <c:numCache>
                <c:formatCode>General</c:formatCode>
                <c:ptCount val="10"/>
                <c:pt idx="0">
                  <c:v>222.96352941176474</c:v>
                </c:pt>
                <c:pt idx="1">
                  <c:v>721.18115384615385</c:v>
                </c:pt>
                <c:pt idx="2">
                  <c:v>821.66769230769228</c:v>
                </c:pt>
                <c:pt idx="3">
                  <c:v>626.32812499999989</c:v>
                </c:pt>
                <c:pt idx="4">
                  <c:v>-297.08785714285733</c:v>
                </c:pt>
                <c:pt idx="5">
                  <c:v>273.89928571428567</c:v>
                </c:pt>
                <c:pt idx="6">
                  <c:v>-175.85142857142844</c:v>
                </c:pt>
                <c:pt idx="7">
                  <c:v>998.16117647058809</c:v>
                </c:pt>
                <c:pt idx="8">
                  <c:v>65.36583333333347</c:v>
                </c:pt>
                <c:pt idx="9">
                  <c:v>-516.49499999999989</c:v>
                </c:pt>
              </c:numCache>
            </c:numRef>
          </c:yVal>
          <c:smooth val="1"/>
          <c:extLst>
            <c:ext xmlns:c16="http://schemas.microsoft.com/office/drawing/2014/chart" uri="{C3380CC4-5D6E-409C-BE32-E72D297353CC}">
              <c16:uniqueId val="{00000000-32D8-4C6E-9291-1EC23EEFD94A}"/>
            </c:ext>
          </c:extLst>
        </c:ser>
        <c:ser>
          <c:idx val="1"/>
          <c:order val="1"/>
          <c:tx>
            <c:strRef>
              <c:f>Chart_Discount_Profit!$C$1</c:f>
              <c:strCache>
                <c:ptCount val="1"/>
                <c:pt idx="0">
                  <c:v>Average of Discount_Amount</c:v>
                </c:pt>
              </c:strCache>
            </c:strRef>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strRef>
              <c:f>Chart_Discount_Profit!$A$2:$A$11</c:f>
              <c:strCache>
                <c:ptCount val="10"/>
                <c:pt idx="0">
                  <c:v>Badminton Shuttle</c:v>
                </c:pt>
                <c:pt idx="1">
                  <c:v>Ball</c:v>
                </c:pt>
                <c:pt idx="2">
                  <c:v>Calculator</c:v>
                </c:pt>
                <c:pt idx="3">
                  <c:v>File Folder</c:v>
                </c:pt>
                <c:pt idx="4">
                  <c:v>Glue Stick</c:v>
                </c:pt>
                <c:pt idx="5">
                  <c:v>Marker</c:v>
                </c:pt>
                <c:pt idx="6">
                  <c:v>Notebook</c:v>
                </c:pt>
                <c:pt idx="7">
                  <c:v>Pen</c:v>
                </c:pt>
                <c:pt idx="8">
                  <c:v>Stapler</c:v>
                </c:pt>
                <c:pt idx="9">
                  <c:v>Water Bottle</c:v>
                </c:pt>
              </c:strCache>
            </c:strRef>
          </c:xVal>
          <c:yVal>
            <c:numRef>
              <c:f>Chart_Discount_Profit!$C$2:$C$11</c:f>
              <c:numCache>
                <c:formatCode>General</c:formatCode>
                <c:ptCount val="10"/>
                <c:pt idx="0">
                  <c:v>2436.1729411764704</c:v>
                </c:pt>
                <c:pt idx="1">
                  <c:v>3764.1323076923072</c:v>
                </c:pt>
                <c:pt idx="2">
                  <c:v>3485.917692307693</c:v>
                </c:pt>
                <c:pt idx="3">
                  <c:v>5014.7787499999995</c:v>
                </c:pt>
                <c:pt idx="4">
                  <c:v>4358.551428571428</c:v>
                </c:pt>
                <c:pt idx="5">
                  <c:v>2294.5921428571432</c:v>
                </c:pt>
                <c:pt idx="6">
                  <c:v>3431.0342857142859</c:v>
                </c:pt>
                <c:pt idx="7">
                  <c:v>3144.5023529411765</c:v>
                </c:pt>
                <c:pt idx="8">
                  <c:v>2809.7941666666666</c:v>
                </c:pt>
                <c:pt idx="9">
                  <c:v>4132.4835714285709</c:v>
                </c:pt>
              </c:numCache>
            </c:numRef>
          </c:yVal>
          <c:smooth val="1"/>
          <c:extLst>
            <c:ext xmlns:c16="http://schemas.microsoft.com/office/drawing/2014/chart" uri="{C3380CC4-5D6E-409C-BE32-E72D297353CC}">
              <c16:uniqueId val="{00000001-32D8-4C6E-9291-1EC23EEFD94A}"/>
            </c:ext>
          </c:extLst>
        </c:ser>
        <c:dLbls>
          <c:showLegendKey val="0"/>
          <c:showVal val="0"/>
          <c:showCatName val="0"/>
          <c:showSerName val="0"/>
          <c:showPercent val="0"/>
          <c:showBubbleSize val="0"/>
        </c:dLbls>
        <c:axId val="461059615"/>
        <c:axId val="461061055"/>
      </c:scatterChart>
      <c:valAx>
        <c:axId val="461059615"/>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061055"/>
        <c:crosses val="autoZero"/>
        <c:crossBetween val="midCat"/>
      </c:valAx>
      <c:valAx>
        <c:axId val="4610610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0596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434340</xdr:colOff>
      <xdr:row>6</xdr:row>
      <xdr:rowOff>41910</xdr:rowOff>
    </xdr:from>
    <xdr:to>
      <xdr:col>12</xdr:col>
      <xdr:colOff>129540</xdr:colOff>
      <xdr:row>21</xdr:row>
      <xdr:rowOff>41910</xdr:rowOff>
    </xdr:to>
    <xdr:graphicFrame macro="">
      <xdr:nvGraphicFramePr>
        <xdr:cNvPr id="2" name="Chart 1">
          <a:extLst>
            <a:ext uri="{FF2B5EF4-FFF2-40B4-BE49-F238E27FC236}">
              <a16:creationId xmlns:a16="http://schemas.microsoft.com/office/drawing/2014/main" id="{4441C2A4-665A-F89E-6ECD-5612600CB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525780</xdr:colOff>
      <xdr:row>4</xdr:row>
      <xdr:rowOff>0</xdr:rowOff>
    </xdr:from>
    <xdr:to>
      <xdr:col>10</xdr:col>
      <xdr:colOff>777240</xdr:colOff>
      <xdr:row>5</xdr:row>
      <xdr:rowOff>53340</xdr:rowOff>
    </xdr:to>
    <xdr:sp macro="" textlink="XDD3">
      <xdr:nvSpPr>
        <xdr:cNvPr id="3" name="Rectangle 2">
          <a:extLst>
            <a:ext uri="{FF2B5EF4-FFF2-40B4-BE49-F238E27FC236}">
              <a16:creationId xmlns:a16="http://schemas.microsoft.com/office/drawing/2014/main" id="{5236024D-FBD4-A302-B2B5-0D9A3D8FB5A3}"/>
            </a:ext>
          </a:extLst>
        </xdr:cNvPr>
        <xdr:cNvSpPr/>
      </xdr:nvSpPr>
      <xdr:spPr>
        <a:xfrm>
          <a:off x="6225540" y="731520"/>
          <a:ext cx="86106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313CAA3-6436-40BA-9965-C11FD53FDA46}" type="TxLink">
            <a:rPr lang="en-US" sz="1100" b="0" i="0" u="none" strike="noStrike">
              <a:solidFill>
                <a:schemeClr val="bg1"/>
              </a:solidFill>
              <a:latin typeface="Aptos Narrow"/>
            </a:rPr>
            <a:pPr algn="l"/>
            <a:t>₹ 4,35,687</a:t>
          </a:fld>
          <a:endParaRPr lang="en-IN" sz="1100">
            <a:solidFill>
              <a:schemeClr val="bg1"/>
            </a:solidFill>
          </a:endParaRPr>
        </a:p>
      </xdr:txBody>
    </xdr:sp>
    <xdr:clientData/>
  </xdr:twoCellAnchor>
  <xdr:twoCellAnchor>
    <xdr:from>
      <xdr:col>3</xdr:col>
      <xdr:colOff>7620</xdr:colOff>
      <xdr:row>3</xdr:row>
      <xdr:rowOff>167640</xdr:rowOff>
    </xdr:from>
    <xdr:to>
      <xdr:col>4</xdr:col>
      <xdr:colOff>236220</xdr:colOff>
      <xdr:row>5</xdr:row>
      <xdr:rowOff>53340</xdr:rowOff>
    </xdr:to>
    <xdr:sp macro="" textlink="XDD1">
      <xdr:nvSpPr>
        <xdr:cNvPr id="6" name="Rectangle 5">
          <a:extLst>
            <a:ext uri="{FF2B5EF4-FFF2-40B4-BE49-F238E27FC236}">
              <a16:creationId xmlns:a16="http://schemas.microsoft.com/office/drawing/2014/main" id="{9C975E89-D231-275B-800F-6C8DBC637C1C}"/>
            </a:ext>
          </a:extLst>
        </xdr:cNvPr>
        <xdr:cNvSpPr/>
      </xdr:nvSpPr>
      <xdr:spPr>
        <a:xfrm>
          <a:off x="1836420" y="716280"/>
          <a:ext cx="838200" cy="251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05F98CD-C8AE-4AEB-8F15-43E68C4E9CED}" type="TxLink">
            <a:rPr lang="en-US" sz="1100" b="0" i="0" u="none" strike="noStrike">
              <a:solidFill>
                <a:schemeClr val="bg1"/>
              </a:solidFill>
              <a:latin typeface="Aptos Narrow"/>
              <a:ea typeface="+mn-ea"/>
              <a:cs typeface="+mn-cs"/>
            </a:rPr>
            <a:pPr marL="0" indent="0" algn="l"/>
            <a:t>₹ 9,62,713</a:t>
          </a:fld>
          <a:endParaRPr lang="en-IN" sz="1100" b="0" i="0" u="none" strike="noStrike">
            <a:solidFill>
              <a:schemeClr val="bg1"/>
            </a:solidFill>
            <a:latin typeface="Aptos Narrow"/>
            <a:ea typeface="+mn-ea"/>
            <a:cs typeface="+mn-cs"/>
          </a:endParaRPr>
        </a:p>
      </xdr:txBody>
    </xdr:sp>
    <xdr:clientData/>
  </xdr:twoCellAnchor>
  <xdr:twoCellAnchor>
    <xdr:from>
      <xdr:col>0</xdr:col>
      <xdr:colOff>571500</xdr:colOff>
      <xdr:row>3</xdr:row>
      <xdr:rowOff>167640</xdr:rowOff>
    </xdr:from>
    <xdr:to>
      <xdr:col>2</xdr:col>
      <xdr:colOff>563880</xdr:colOff>
      <xdr:row>5</xdr:row>
      <xdr:rowOff>68580</xdr:rowOff>
    </xdr:to>
    <xdr:sp macro="" textlink="">
      <xdr:nvSpPr>
        <xdr:cNvPr id="7" name="TextBox 6">
          <a:extLst>
            <a:ext uri="{FF2B5EF4-FFF2-40B4-BE49-F238E27FC236}">
              <a16:creationId xmlns:a16="http://schemas.microsoft.com/office/drawing/2014/main" id="{409B40AA-A452-F9F1-016F-C747C10AB5C5}"/>
            </a:ext>
          </a:extLst>
        </xdr:cNvPr>
        <xdr:cNvSpPr txBox="1"/>
      </xdr:nvSpPr>
      <xdr:spPr>
        <a:xfrm>
          <a:off x="571500" y="716280"/>
          <a:ext cx="12115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chemeClr val="tx1"/>
              </a:solidFill>
              <a:latin typeface="+mn-lt"/>
              <a:ea typeface="+mn-ea"/>
              <a:cs typeface="+mn-cs"/>
            </a:rPr>
            <a:t>Total G</a:t>
          </a:r>
          <a:r>
            <a:rPr lang="en-IN" sz="1100" b="1" i="1">
              <a:solidFill>
                <a:schemeClr val="dk1"/>
              </a:solidFill>
              <a:latin typeface="+mn-lt"/>
              <a:ea typeface="+mn-ea"/>
              <a:cs typeface="+mn-cs"/>
            </a:rPr>
            <a:t>ross</a:t>
          </a:r>
          <a:r>
            <a:rPr lang="en-IN" sz="1100" b="1" i="1" baseline="0">
              <a:solidFill>
                <a:schemeClr val="dk1"/>
              </a:solidFill>
              <a:latin typeface="+mn-lt"/>
              <a:ea typeface="+mn-ea"/>
              <a:cs typeface="+mn-cs"/>
            </a:rPr>
            <a:t> Sales</a:t>
          </a:r>
          <a:endParaRPr lang="en-IN" sz="1100"/>
        </a:p>
      </xdr:txBody>
    </xdr:sp>
    <xdr:clientData/>
  </xdr:twoCellAnchor>
  <xdr:twoCellAnchor>
    <xdr:from>
      <xdr:col>4</xdr:col>
      <xdr:colOff>297180</xdr:colOff>
      <xdr:row>3</xdr:row>
      <xdr:rowOff>167640</xdr:rowOff>
    </xdr:from>
    <xdr:to>
      <xdr:col>6</xdr:col>
      <xdr:colOff>274320</xdr:colOff>
      <xdr:row>5</xdr:row>
      <xdr:rowOff>83820</xdr:rowOff>
    </xdr:to>
    <xdr:sp macro="" textlink="">
      <xdr:nvSpPr>
        <xdr:cNvPr id="8" name="TextBox 7">
          <a:extLst>
            <a:ext uri="{FF2B5EF4-FFF2-40B4-BE49-F238E27FC236}">
              <a16:creationId xmlns:a16="http://schemas.microsoft.com/office/drawing/2014/main" id="{3F32E885-1314-D5B9-AA3E-2FF2E90AAAF0}"/>
            </a:ext>
          </a:extLst>
        </xdr:cNvPr>
        <xdr:cNvSpPr txBox="1"/>
      </xdr:nvSpPr>
      <xdr:spPr>
        <a:xfrm>
          <a:off x="2735580" y="716280"/>
          <a:ext cx="11963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Total Discount</a:t>
          </a:r>
        </a:p>
      </xdr:txBody>
    </xdr:sp>
    <xdr:clientData/>
  </xdr:twoCellAnchor>
  <xdr:twoCellAnchor>
    <xdr:from>
      <xdr:col>6</xdr:col>
      <xdr:colOff>358140</xdr:colOff>
      <xdr:row>4</xdr:row>
      <xdr:rowOff>7620</xdr:rowOff>
    </xdr:from>
    <xdr:to>
      <xdr:col>7</xdr:col>
      <xdr:colOff>586740</xdr:colOff>
      <xdr:row>5</xdr:row>
      <xdr:rowOff>53340</xdr:rowOff>
    </xdr:to>
    <xdr:sp macro="" textlink="XDD2">
      <xdr:nvSpPr>
        <xdr:cNvPr id="9" name="Rectangle 8">
          <a:extLst>
            <a:ext uri="{FF2B5EF4-FFF2-40B4-BE49-F238E27FC236}">
              <a16:creationId xmlns:a16="http://schemas.microsoft.com/office/drawing/2014/main" id="{1F6A09CD-E257-076A-93C5-FC50883D3E29}"/>
            </a:ext>
          </a:extLst>
        </xdr:cNvPr>
        <xdr:cNvSpPr/>
      </xdr:nvSpPr>
      <xdr:spPr>
        <a:xfrm>
          <a:off x="4015740" y="739140"/>
          <a:ext cx="83820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6A38186-2E20-465E-8F62-865D3EACC83B}" type="TxLink">
            <a:rPr lang="en-US" sz="1100" b="0" i="0" u="none" strike="noStrike">
              <a:solidFill>
                <a:schemeClr val="bg1"/>
              </a:solidFill>
              <a:latin typeface="Aptos Narrow"/>
              <a:ea typeface="+mn-ea"/>
              <a:cs typeface="+mn-cs"/>
            </a:rPr>
            <a:pPr marL="0" indent="0" algn="l"/>
            <a:t>₹ 5,27,026</a:t>
          </a:fld>
          <a:endParaRPr lang="en-IN" sz="1100" b="0" i="0" u="none" strike="noStrike">
            <a:solidFill>
              <a:schemeClr val="bg1"/>
            </a:solidFill>
            <a:latin typeface="Aptos Narrow"/>
            <a:ea typeface="+mn-ea"/>
            <a:cs typeface="+mn-cs"/>
          </a:endParaRPr>
        </a:p>
      </xdr:txBody>
    </xdr:sp>
    <xdr:clientData/>
  </xdr:twoCellAnchor>
  <xdr:twoCellAnchor>
    <xdr:from>
      <xdr:col>7</xdr:col>
      <xdr:colOff>716280</xdr:colOff>
      <xdr:row>3</xdr:row>
      <xdr:rowOff>175260</xdr:rowOff>
    </xdr:from>
    <xdr:to>
      <xdr:col>9</xdr:col>
      <xdr:colOff>472440</xdr:colOff>
      <xdr:row>5</xdr:row>
      <xdr:rowOff>68580</xdr:rowOff>
    </xdr:to>
    <xdr:sp macro="" textlink="">
      <xdr:nvSpPr>
        <xdr:cNvPr id="10" name="TextBox 9">
          <a:extLst>
            <a:ext uri="{FF2B5EF4-FFF2-40B4-BE49-F238E27FC236}">
              <a16:creationId xmlns:a16="http://schemas.microsoft.com/office/drawing/2014/main" id="{25068C49-9DA5-CFF0-6F07-9F1033F88EFB}"/>
            </a:ext>
          </a:extLst>
        </xdr:cNvPr>
        <xdr:cNvSpPr txBox="1"/>
      </xdr:nvSpPr>
      <xdr:spPr>
        <a:xfrm>
          <a:off x="4983480" y="723900"/>
          <a:ext cx="11887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Total Net</a:t>
          </a:r>
          <a:r>
            <a:rPr lang="en-IN" sz="1200" b="1" i="1" baseline="0"/>
            <a:t> Sales</a:t>
          </a:r>
          <a:endParaRPr lang="en-IN" sz="1200" b="1" i="1"/>
        </a:p>
      </xdr:txBody>
    </xdr:sp>
    <xdr:clientData/>
  </xdr:twoCellAnchor>
  <xdr:twoCellAnchor>
    <xdr:from>
      <xdr:col>10</xdr:col>
      <xdr:colOff>967740</xdr:colOff>
      <xdr:row>3</xdr:row>
      <xdr:rowOff>160020</xdr:rowOff>
    </xdr:from>
    <xdr:to>
      <xdr:col>11</xdr:col>
      <xdr:colOff>670560</xdr:colOff>
      <xdr:row>5</xdr:row>
      <xdr:rowOff>60960</xdr:rowOff>
    </xdr:to>
    <xdr:sp macro="" textlink="">
      <xdr:nvSpPr>
        <xdr:cNvPr id="11" name="TextBox 10">
          <a:extLst>
            <a:ext uri="{FF2B5EF4-FFF2-40B4-BE49-F238E27FC236}">
              <a16:creationId xmlns:a16="http://schemas.microsoft.com/office/drawing/2014/main" id="{CD76FA72-527E-C4E8-7E0E-454AE524F13D}"/>
            </a:ext>
          </a:extLst>
        </xdr:cNvPr>
        <xdr:cNvSpPr txBox="1"/>
      </xdr:nvSpPr>
      <xdr:spPr>
        <a:xfrm>
          <a:off x="7277100" y="708660"/>
          <a:ext cx="1135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Total Profit</a:t>
          </a:r>
        </a:p>
      </xdr:txBody>
    </xdr:sp>
    <xdr:clientData/>
  </xdr:twoCellAnchor>
  <xdr:twoCellAnchor>
    <xdr:from>
      <xdr:col>11</xdr:col>
      <xdr:colOff>769620</xdr:colOff>
      <xdr:row>3</xdr:row>
      <xdr:rowOff>160020</xdr:rowOff>
    </xdr:from>
    <xdr:to>
      <xdr:col>12</xdr:col>
      <xdr:colOff>45720</xdr:colOff>
      <xdr:row>5</xdr:row>
      <xdr:rowOff>53340</xdr:rowOff>
    </xdr:to>
    <xdr:sp macro="" textlink="XDD4">
      <xdr:nvSpPr>
        <xdr:cNvPr id="12" name="Rectangle 11">
          <a:extLst>
            <a:ext uri="{FF2B5EF4-FFF2-40B4-BE49-F238E27FC236}">
              <a16:creationId xmlns:a16="http://schemas.microsoft.com/office/drawing/2014/main" id="{43549B1A-D31E-2073-BF55-1A261EC5E3E2}"/>
            </a:ext>
          </a:extLst>
        </xdr:cNvPr>
        <xdr:cNvSpPr/>
      </xdr:nvSpPr>
      <xdr:spPr>
        <a:xfrm>
          <a:off x="8511540" y="708660"/>
          <a:ext cx="708660" cy="259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D8B2521-5475-45F0-B9B0-4D2697BAF099}" type="TxLink">
            <a:rPr lang="en-US" sz="1100" b="0" i="0" u="none" strike="noStrike">
              <a:solidFill>
                <a:schemeClr val="bg1"/>
              </a:solidFill>
              <a:latin typeface="Aptos Narrow"/>
              <a:ea typeface="+mn-ea"/>
              <a:cs typeface="+mn-cs"/>
            </a:rPr>
            <a:pPr marL="0" indent="0" algn="l"/>
            <a:t>₹ 52,211</a:t>
          </a:fld>
          <a:endParaRPr lang="en-IN" sz="1100" b="0" i="0" u="none" strike="noStrike">
            <a:solidFill>
              <a:schemeClr val="bg1"/>
            </a:solidFill>
            <a:latin typeface="Aptos Narrow"/>
            <a:ea typeface="+mn-ea"/>
            <a:cs typeface="+mn-cs"/>
          </a:endParaRPr>
        </a:p>
      </xdr:txBody>
    </xdr:sp>
    <xdr:clientData/>
  </xdr:twoCellAnchor>
  <xdr:twoCellAnchor>
    <xdr:from>
      <xdr:col>12</xdr:col>
      <xdr:colOff>243840</xdr:colOff>
      <xdr:row>3</xdr:row>
      <xdr:rowOff>167640</xdr:rowOff>
    </xdr:from>
    <xdr:to>
      <xdr:col>14</xdr:col>
      <xdr:colOff>388620</xdr:colOff>
      <xdr:row>5</xdr:row>
      <xdr:rowOff>53340</xdr:rowOff>
    </xdr:to>
    <xdr:sp macro="" textlink="">
      <xdr:nvSpPr>
        <xdr:cNvPr id="13" name="TextBox 12">
          <a:extLst>
            <a:ext uri="{FF2B5EF4-FFF2-40B4-BE49-F238E27FC236}">
              <a16:creationId xmlns:a16="http://schemas.microsoft.com/office/drawing/2014/main" id="{2903BD48-6932-4176-9A2F-92B3E323322F}"/>
            </a:ext>
          </a:extLst>
        </xdr:cNvPr>
        <xdr:cNvSpPr txBox="1"/>
      </xdr:nvSpPr>
      <xdr:spPr>
        <a:xfrm>
          <a:off x="9418320" y="716280"/>
          <a:ext cx="11963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Profit Margin </a:t>
          </a:r>
          <a:r>
            <a:rPr lang="en-IN" sz="1000" b="1" i="1"/>
            <a:t>%</a:t>
          </a:r>
        </a:p>
      </xdr:txBody>
    </xdr:sp>
    <xdr:clientData/>
  </xdr:twoCellAnchor>
  <xdr:twoCellAnchor>
    <xdr:from>
      <xdr:col>15</xdr:col>
      <xdr:colOff>83820</xdr:colOff>
      <xdr:row>3</xdr:row>
      <xdr:rowOff>160020</xdr:rowOff>
    </xdr:from>
    <xdr:to>
      <xdr:col>16</xdr:col>
      <xdr:colOff>594360</xdr:colOff>
      <xdr:row>5</xdr:row>
      <xdr:rowOff>45720</xdr:rowOff>
    </xdr:to>
    <xdr:sp macro="" textlink="XDD5">
      <xdr:nvSpPr>
        <xdr:cNvPr id="14" name="Rectangle 13">
          <a:extLst>
            <a:ext uri="{FF2B5EF4-FFF2-40B4-BE49-F238E27FC236}">
              <a16:creationId xmlns:a16="http://schemas.microsoft.com/office/drawing/2014/main" id="{306C5B97-A185-4C45-1AE0-48D550F34015}"/>
            </a:ext>
          </a:extLst>
        </xdr:cNvPr>
        <xdr:cNvSpPr/>
      </xdr:nvSpPr>
      <xdr:spPr>
        <a:xfrm>
          <a:off x="10759440" y="708660"/>
          <a:ext cx="960120" cy="251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000EAB1-7F89-41BC-B64A-AB6042F36C48}" type="TxLink">
            <a:rPr lang="en-US" sz="1100" b="0" i="0" u="none" strike="noStrike">
              <a:solidFill>
                <a:schemeClr val="bg1"/>
              </a:solidFill>
              <a:latin typeface="Aptos Narrow"/>
              <a:ea typeface="+mn-ea"/>
              <a:cs typeface="+mn-cs"/>
            </a:rPr>
            <a:pPr marL="0" indent="0" algn="l"/>
            <a:t>11.98%</a:t>
          </a:fld>
          <a:endParaRPr lang="en-IN" sz="1100" b="0" i="0" u="none" strike="noStrike">
            <a:solidFill>
              <a:schemeClr val="bg1"/>
            </a:solidFill>
            <a:latin typeface="Aptos Narrow"/>
            <a:ea typeface="+mn-ea"/>
            <a:cs typeface="+mn-cs"/>
          </a:endParaRPr>
        </a:p>
      </xdr:txBody>
    </xdr:sp>
    <xdr:clientData/>
  </xdr:twoCellAnchor>
  <xdr:twoCellAnchor>
    <xdr:from>
      <xdr:col>17</xdr:col>
      <xdr:colOff>30480</xdr:colOff>
      <xdr:row>3</xdr:row>
      <xdr:rowOff>156210</xdr:rowOff>
    </xdr:from>
    <xdr:to>
      <xdr:col>18</xdr:col>
      <xdr:colOff>541020</xdr:colOff>
      <xdr:row>5</xdr:row>
      <xdr:rowOff>53340</xdr:rowOff>
    </xdr:to>
    <xdr:sp macro="" textlink="">
      <xdr:nvSpPr>
        <xdr:cNvPr id="15" name="TextBox 14">
          <a:extLst>
            <a:ext uri="{FF2B5EF4-FFF2-40B4-BE49-F238E27FC236}">
              <a16:creationId xmlns:a16="http://schemas.microsoft.com/office/drawing/2014/main" id="{6FE8E73E-2652-B609-ED96-FF4B1FCA6005}"/>
            </a:ext>
          </a:extLst>
        </xdr:cNvPr>
        <xdr:cNvSpPr txBox="1"/>
      </xdr:nvSpPr>
      <xdr:spPr>
        <a:xfrm>
          <a:off x="11879580" y="704850"/>
          <a:ext cx="1120140" cy="26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Avg</a:t>
          </a:r>
          <a:r>
            <a:rPr lang="en-IN" sz="1200" b="1" i="1" baseline="0"/>
            <a:t> Price/Unit</a:t>
          </a:r>
          <a:endParaRPr lang="en-IN" sz="1200" b="1" i="1"/>
        </a:p>
      </xdr:txBody>
    </xdr:sp>
    <xdr:clientData/>
  </xdr:twoCellAnchor>
  <xdr:twoCellAnchor>
    <xdr:from>
      <xdr:col>19</xdr:col>
      <xdr:colOff>45720</xdr:colOff>
      <xdr:row>3</xdr:row>
      <xdr:rowOff>144780</xdr:rowOff>
    </xdr:from>
    <xdr:to>
      <xdr:col>19</xdr:col>
      <xdr:colOff>899160</xdr:colOff>
      <xdr:row>5</xdr:row>
      <xdr:rowOff>76200</xdr:rowOff>
    </xdr:to>
    <xdr:sp macro="" textlink="XDD6">
      <xdr:nvSpPr>
        <xdr:cNvPr id="16" name="Rectangle 15">
          <a:extLst>
            <a:ext uri="{FF2B5EF4-FFF2-40B4-BE49-F238E27FC236}">
              <a16:creationId xmlns:a16="http://schemas.microsoft.com/office/drawing/2014/main" id="{1CEEE729-E2C5-29C7-EC20-70F9786DEDB6}"/>
            </a:ext>
          </a:extLst>
        </xdr:cNvPr>
        <xdr:cNvSpPr/>
      </xdr:nvSpPr>
      <xdr:spPr>
        <a:xfrm>
          <a:off x="13114020" y="693420"/>
          <a:ext cx="853440" cy="297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709BC05-A279-41C1-BB25-BB92FA859989}" type="TxLink">
            <a:rPr lang="en-US" sz="1100" b="0" i="0" u="none" strike="noStrike">
              <a:solidFill>
                <a:schemeClr val="bg1"/>
              </a:solidFill>
              <a:latin typeface="Aptos Narrow"/>
              <a:ea typeface="+mn-ea"/>
              <a:cs typeface="+mn-cs"/>
            </a:rPr>
            <a:pPr marL="0" indent="0" algn="l"/>
            <a:t>₹ 60.81</a:t>
          </a:fld>
          <a:endParaRPr lang="en-IN" sz="1100" b="0" i="0" u="none" strike="noStrike">
            <a:solidFill>
              <a:schemeClr val="bg1"/>
            </a:solidFill>
            <a:latin typeface="Aptos Narrow"/>
            <a:ea typeface="+mn-ea"/>
            <a:cs typeface="+mn-cs"/>
          </a:endParaRPr>
        </a:p>
      </xdr:txBody>
    </xdr:sp>
    <xdr:clientData/>
  </xdr:twoCellAnchor>
  <xdr:twoCellAnchor>
    <xdr:from>
      <xdr:col>8</xdr:col>
      <xdr:colOff>274320</xdr:colOff>
      <xdr:row>1</xdr:row>
      <xdr:rowOff>0</xdr:rowOff>
    </xdr:from>
    <xdr:to>
      <xdr:col>11</xdr:col>
      <xdr:colOff>906780</xdr:colOff>
      <xdr:row>2</xdr:row>
      <xdr:rowOff>137160</xdr:rowOff>
    </xdr:to>
    <xdr:sp macro="" textlink="">
      <xdr:nvSpPr>
        <xdr:cNvPr id="17" name="TextBox 16">
          <a:extLst>
            <a:ext uri="{FF2B5EF4-FFF2-40B4-BE49-F238E27FC236}">
              <a16:creationId xmlns:a16="http://schemas.microsoft.com/office/drawing/2014/main" id="{FBCFCEFC-E659-18AC-5AB4-52339B32DF1C}"/>
            </a:ext>
          </a:extLst>
        </xdr:cNvPr>
        <xdr:cNvSpPr txBox="1"/>
      </xdr:nvSpPr>
      <xdr:spPr>
        <a:xfrm>
          <a:off x="5364480" y="182880"/>
          <a:ext cx="328422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Retail Sales Dashboard - Hitesh Garg </a:t>
          </a:r>
        </a:p>
      </xdr:txBody>
    </xdr:sp>
    <xdr:clientData/>
  </xdr:twoCellAnchor>
  <xdr:twoCellAnchor>
    <xdr:from>
      <xdr:col>1</xdr:col>
      <xdr:colOff>0</xdr:colOff>
      <xdr:row>7</xdr:row>
      <xdr:rowOff>68580</xdr:rowOff>
    </xdr:from>
    <xdr:to>
      <xdr:col>10</xdr:col>
      <xdr:colOff>388620</xdr:colOff>
      <xdr:row>20</xdr:row>
      <xdr:rowOff>83820</xdr:rowOff>
    </xdr:to>
    <xdr:graphicFrame macro="">
      <xdr:nvGraphicFramePr>
        <xdr:cNvPr id="18" name="Chart 17">
          <a:extLst>
            <a:ext uri="{FF2B5EF4-FFF2-40B4-BE49-F238E27FC236}">
              <a16:creationId xmlns:a16="http://schemas.microsoft.com/office/drawing/2014/main" id="{C83B830E-9DBA-46A1-AAB4-37D22A2A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1318260</xdr:colOff>
      <xdr:row>7</xdr:row>
      <xdr:rowOff>99060</xdr:rowOff>
    </xdr:from>
    <xdr:to>
      <xdr:col>19</xdr:col>
      <xdr:colOff>883920</xdr:colOff>
      <xdr:row>20</xdr:row>
      <xdr:rowOff>83820</xdr:rowOff>
    </xdr:to>
    <xdr:graphicFrame macro="">
      <xdr:nvGraphicFramePr>
        <xdr:cNvPr id="19" name="Chart 18">
          <a:extLst>
            <a:ext uri="{FF2B5EF4-FFF2-40B4-BE49-F238E27FC236}">
              <a16:creationId xmlns:a16="http://schemas.microsoft.com/office/drawing/2014/main" id="{2F01F026-E6C1-426A-B252-F599323F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289560</xdr:colOff>
      <xdr:row>31</xdr:row>
      <xdr:rowOff>22860</xdr:rowOff>
    </xdr:from>
    <xdr:to>
      <xdr:col>10</xdr:col>
      <xdr:colOff>678180</xdr:colOff>
      <xdr:row>44</xdr:row>
      <xdr:rowOff>60960</xdr:rowOff>
    </xdr:to>
    <xdr:graphicFrame macro="">
      <xdr:nvGraphicFramePr>
        <xdr:cNvPr id="21" name="Chart 20">
          <a:extLst>
            <a:ext uri="{FF2B5EF4-FFF2-40B4-BE49-F238E27FC236}">
              <a16:creationId xmlns:a16="http://schemas.microsoft.com/office/drawing/2014/main" id="{7ADC1A45-6551-4CAA-8EE2-E1C0EE50B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60960</xdr:colOff>
      <xdr:row>46</xdr:row>
      <xdr:rowOff>114300</xdr:rowOff>
    </xdr:from>
    <xdr:to>
      <xdr:col>17</xdr:col>
      <xdr:colOff>68580</xdr:colOff>
      <xdr:row>60</xdr:row>
      <xdr:rowOff>91440</xdr:rowOff>
    </xdr:to>
    <xdr:graphicFrame macro="">
      <xdr:nvGraphicFramePr>
        <xdr:cNvPr id="22" name="Chart 21">
          <a:extLst>
            <a:ext uri="{FF2B5EF4-FFF2-40B4-BE49-F238E27FC236}">
              <a16:creationId xmlns:a16="http://schemas.microsoft.com/office/drawing/2014/main" id="{E5E159EA-317B-4A44-B53C-367FDA810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213360</xdr:colOff>
      <xdr:row>21</xdr:row>
      <xdr:rowOff>91441</xdr:rowOff>
    </xdr:from>
    <xdr:to>
      <xdr:col>10</xdr:col>
      <xdr:colOff>1386840</xdr:colOff>
      <xdr:row>29</xdr:row>
      <xdr:rowOff>175261</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7B1666FB-CC81-4B94-9FAC-FB3A8A04BC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13120" y="3931921"/>
              <a:ext cx="178308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21</xdr:row>
      <xdr:rowOff>83820</xdr:rowOff>
    </xdr:from>
    <xdr:to>
      <xdr:col>7</xdr:col>
      <xdr:colOff>388620</xdr:colOff>
      <xdr:row>29</xdr:row>
      <xdr:rowOff>121919</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CD56247B-7880-449A-B602-1CDFE9E2224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22120" y="3924300"/>
              <a:ext cx="29337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1242060</xdr:colOff>
      <xdr:row>21</xdr:row>
      <xdr:rowOff>137160</xdr:rowOff>
    </xdr:from>
    <xdr:to>
      <xdr:col>15</xdr:col>
      <xdr:colOff>99060</xdr:colOff>
      <xdr:row>28</xdr:row>
      <xdr:rowOff>106679</xdr:rowOff>
    </xdr:to>
    <mc:AlternateContent xmlns:mc="http://schemas.openxmlformats.org/markup-compatibility/2006" xmlns:a14="http://schemas.microsoft.com/office/drawing/2010/main">
      <mc:Choice Requires="a14">
        <xdr:graphicFrame macro="">
          <xdr:nvGraphicFramePr>
            <xdr:cNvPr id="26" name="Months (Date)">
              <a:extLst>
                <a:ext uri="{FF2B5EF4-FFF2-40B4-BE49-F238E27FC236}">
                  <a16:creationId xmlns:a16="http://schemas.microsoft.com/office/drawing/2014/main" id="{D3A71973-09B1-4936-A995-AA567A4AFCD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983980" y="3977640"/>
              <a:ext cx="17907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289560</xdr:colOff>
      <xdr:row>92</xdr:row>
      <xdr:rowOff>38100</xdr:rowOff>
    </xdr:from>
    <xdr:to>
      <xdr:col>19</xdr:col>
      <xdr:colOff>1028700</xdr:colOff>
      <xdr:row>93</xdr:row>
      <xdr:rowOff>129540</xdr:rowOff>
    </xdr:to>
    <xdr:sp macro="" textlink="">
      <xdr:nvSpPr>
        <xdr:cNvPr id="27" name="TextBox 26">
          <a:extLst>
            <a:ext uri="{FF2B5EF4-FFF2-40B4-BE49-F238E27FC236}">
              <a16:creationId xmlns:a16="http://schemas.microsoft.com/office/drawing/2014/main" id="{908A3929-774D-9777-B171-B471737C433E}"/>
            </a:ext>
          </a:extLst>
        </xdr:cNvPr>
        <xdr:cNvSpPr txBox="1"/>
      </xdr:nvSpPr>
      <xdr:spPr>
        <a:xfrm>
          <a:off x="8031480" y="16863060"/>
          <a:ext cx="6065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latin typeface="Segoe UI" panose="020B0502040204020203" pitchFamily="34" charset="0"/>
              <a:cs typeface="Segoe UI" panose="020B0502040204020203" pitchFamily="34" charset="0"/>
            </a:rPr>
            <a:t>Report generated using Excel Dashboard | Dataset: Retail_Sales | Created by Hitesh Garg</a:t>
          </a:r>
        </a:p>
        <a:p>
          <a:endParaRPr lang="en-IN" sz="1100"/>
        </a:p>
      </xdr:txBody>
    </xdr:sp>
    <xdr:clientData/>
  </xdr:twoCellAnchor>
  <xdr:twoCellAnchor>
    <xdr:from>
      <xdr:col>4</xdr:col>
      <xdr:colOff>281940</xdr:colOff>
      <xdr:row>62</xdr:row>
      <xdr:rowOff>60960</xdr:rowOff>
    </xdr:from>
    <xdr:to>
      <xdr:col>12</xdr:col>
      <xdr:colOff>327660</xdr:colOff>
      <xdr:row>77</xdr:row>
      <xdr:rowOff>99060</xdr:rowOff>
    </xdr:to>
    <xdr:graphicFrame macro="">
      <xdr:nvGraphicFramePr>
        <xdr:cNvPr id="28" name="Chart 27">
          <a:extLst>
            <a:ext uri="{FF2B5EF4-FFF2-40B4-BE49-F238E27FC236}">
              <a16:creationId xmlns:a16="http://schemas.microsoft.com/office/drawing/2014/main" id="{6B8DDA5E-0657-451B-8D7B-1E62A1231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396240</xdr:colOff>
      <xdr:row>80</xdr:row>
      <xdr:rowOff>152400</xdr:rowOff>
    </xdr:from>
    <xdr:to>
      <xdr:col>8</xdr:col>
      <xdr:colOff>480060</xdr:colOff>
      <xdr:row>89</xdr:row>
      <xdr:rowOff>137160</xdr:rowOff>
    </xdr:to>
    <xdr:sp macro="" textlink="">
      <xdr:nvSpPr>
        <xdr:cNvPr id="30" name="TextBox 29">
          <a:extLst>
            <a:ext uri="{FF2B5EF4-FFF2-40B4-BE49-F238E27FC236}">
              <a16:creationId xmlns:a16="http://schemas.microsoft.com/office/drawing/2014/main" id="{6641F4E0-D036-325C-6AD5-1DB4EC4481FB}"/>
            </a:ext>
          </a:extLst>
        </xdr:cNvPr>
        <xdr:cNvSpPr txBox="1"/>
      </xdr:nvSpPr>
      <xdr:spPr>
        <a:xfrm>
          <a:off x="396240" y="14782800"/>
          <a:ext cx="5173980" cy="1630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Key Insights from the Dashboard</a:t>
          </a:r>
        </a:p>
        <a:p>
          <a:r>
            <a:rPr lang="en-IN" sz="1400" i="1"/>
            <a:t>North</a:t>
          </a:r>
          <a:r>
            <a:rPr lang="en-IN" sz="1400"/>
            <a:t> </a:t>
          </a:r>
          <a:r>
            <a:rPr lang="en-IN" sz="1400" i="1">
              <a:latin typeface="Segoe UI" panose="020B0502040204020203" pitchFamily="34" charset="0"/>
              <a:cs typeface="Segoe UI" panose="020B0502040204020203" pitchFamily="34" charset="0"/>
            </a:rPr>
            <a:t>region gives the highest net sales but also the 2nd lowest Profit Margin</a:t>
          </a:r>
          <a:r>
            <a:rPr lang="en-IN" sz="1400" i="1" baseline="0">
              <a:latin typeface="Segoe UI" panose="020B0502040204020203" pitchFamily="34" charset="0"/>
              <a:cs typeface="Segoe UI" panose="020B0502040204020203" pitchFamily="34" charset="0"/>
            </a:rPr>
            <a:t>.</a:t>
          </a:r>
          <a:endParaRPr lang="en-IN" sz="1400" i="1">
            <a:latin typeface="Segoe UI" panose="020B0502040204020203" pitchFamily="34" charset="0"/>
            <a:cs typeface="Segoe UI" panose="020B0502040204020203" pitchFamily="34" charset="0"/>
          </a:endParaRPr>
        </a:p>
        <a:p>
          <a:r>
            <a:rPr lang="en-IN" sz="1400" i="1">
              <a:latin typeface="Segoe UI" panose="020B0502040204020203" pitchFamily="34" charset="0"/>
              <a:cs typeface="Segoe UI" panose="020B0502040204020203" pitchFamily="34" charset="0"/>
            </a:rPr>
            <a:t>Water Bottle and Glue Stick cause the highest losses.</a:t>
          </a:r>
        </a:p>
        <a:p>
          <a:r>
            <a:rPr lang="en-IN" sz="1400" i="1">
              <a:latin typeface="Segoe UI" panose="020B0502040204020203" pitchFamily="34" charset="0"/>
              <a:cs typeface="Segoe UI" panose="020B0502040204020203" pitchFamily="34" charset="0"/>
            </a:rPr>
            <a:t>February is the weakest month overall.</a:t>
          </a:r>
        </a:p>
        <a:p>
          <a:r>
            <a:rPr lang="en-IN" sz="1400" i="1">
              <a:latin typeface="Segoe UI" panose="020B0502040204020203" pitchFamily="34" charset="0"/>
              <a:cs typeface="Segoe UI" panose="020B0502040204020203" pitchFamily="34" charset="0"/>
            </a:rPr>
            <a:t>Higher discounts clearly reduce Profit (scatter chart explains it).</a:t>
          </a:r>
        </a:p>
        <a:p>
          <a:endParaRPr lang="en-IN" sz="1600" b="1" i="1"/>
        </a:p>
      </xdr:txBody>
    </xdr:sp>
    <xdr:clientData/>
  </xdr:twoCellAnchor>
  <xdr:twoCellAnchor>
    <xdr:from>
      <xdr:col>0</xdr:col>
      <xdr:colOff>152400</xdr:colOff>
      <xdr:row>2</xdr:row>
      <xdr:rowOff>53340</xdr:rowOff>
    </xdr:from>
    <xdr:to>
      <xdr:col>3</xdr:col>
      <xdr:colOff>38100</xdr:colOff>
      <xdr:row>3</xdr:row>
      <xdr:rowOff>91440</xdr:rowOff>
    </xdr:to>
    <xdr:sp macro="" textlink="">
      <xdr:nvSpPr>
        <xdr:cNvPr id="31" name="TextBox 30">
          <a:extLst>
            <a:ext uri="{FF2B5EF4-FFF2-40B4-BE49-F238E27FC236}">
              <a16:creationId xmlns:a16="http://schemas.microsoft.com/office/drawing/2014/main" id="{B38AB2AE-3C79-4785-8578-0886CB231E51}"/>
            </a:ext>
          </a:extLst>
        </xdr:cNvPr>
        <xdr:cNvSpPr txBox="1"/>
      </xdr:nvSpPr>
      <xdr:spPr>
        <a:xfrm>
          <a:off x="152400" y="419100"/>
          <a:ext cx="17145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t>Report Period: Jan–Mar 2023</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sh Garg" refreshedDate="45975.63039583333" createdVersion="8" refreshedVersion="8" minRefreshableVersion="3" recordCount="150" xr:uid="{94481FE0-2375-4B45-8ADE-DEAF13F5C74C}">
  <cacheSource type="worksheet">
    <worksheetSource name="Tblsales"/>
  </cacheSource>
  <cacheFields count="19">
    <cacheField name="Date" numFmtId="14">
      <sharedItems containsSemiMixedTypes="0" containsNonDate="0" containsDate="1" containsString="0" minDate="2023-01-01T00:00:00" maxDate="2023-03-31T00:00:00" count="73">
        <d v="2023-02-26T00:00:00"/>
        <d v="2023-01-25T00:00:00"/>
        <d v="2023-01-13T00:00:00"/>
        <d v="2023-02-13T00:00:00"/>
        <d v="2023-01-08T00:00:00"/>
        <d v="2023-03-23T00:00:00"/>
        <d v="2023-01-28T00:00:00"/>
        <d v="2023-02-15T00:00:00"/>
        <d v="2023-01-26T00:00:00"/>
        <d v="2023-02-20T00:00:00"/>
        <d v="2023-01-24T00:00:00"/>
        <d v="2023-02-11T00:00:00"/>
        <d v="2023-01-19T00:00:00"/>
        <d v="2023-01-06T00:00:00"/>
        <d v="2023-01-29T00:00:00"/>
        <d v="2023-03-07T00:00:00"/>
        <d v="2023-03-29T00:00:00"/>
        <d v="2023-01-04T00:00:00"/>
        <d v="2023-02-02T00:00:00"/>
        <d v="2023-02-12T00:00:00"/>
        <d v="2023-01-09T00:00:00"/>
        <d v="2023-02-06T00:00:00"/>
        <d v="2023-03-26T00:00:00"/>
        <d v="2023-03-15T00:00:00"/>
        <d v="2023-01-27T00:00:00"/>
        <d v="2023-03-05T00:00:00"/>
        <d v="2023-02-21T00:00:00"/>
        <d v="2023-03-30T00:00:00"/>
        <d v="2023-03-24T00:00:00"/>
        <d v="2023-01-31T00:00:00"/>
        <d v="2023-03-01T00:00:00"/>
        <d v="2023-03-19T00:00:00"/>
        <d v="2023-01-03T00:00:00"/>
        <d v="2023-02-24T00:00:00"/>
        <d v="2023-02-04T00:00:00"/>
        <d v="2023-02-14T00:00:00"/>
        <d v="2023-03-04T00:00:00"/>
        <d v="2023-02-17T00:00:00"/>
        <d v="2023-01-05T00:00:00"/>
        <d v="2023-02-08T00:00:00"/>
        <d v="2023-02-01T00:00:00"/>
        <d v="2023-01-07T00:00:00"/>
        <d v="2023-03-17T00:00:00"/>
        <d v="2023-03-06T00:00:00"/>
        <d v="2023-03-12T00:00:00"/>
        <d v="2023-03-27T00:00:00"/>
        <d v="2023-03-18T00:00:00"/>
        <d v="2023-01-12T00:00:00"/>
        <d v="2023-01-22T00:00:00"/>
        <d v="2023-02-16T00:00:00"/>
        <d v="2023-03-16T00:00:00"/>
        <d v="2023-03-14T00:00:00"/>
        <d v="2023-02-28T00:00:00"/>
        <d v="2023-02-23T00:00:00"/>
        <d v="2023-03-21T00:00:00"/>
        <d v="2023-03-22T00:00:00"/>
        <d v="2023-01-10T00:00:00"/>
        <d v="2023-03-10T00:00:00"/>
        <d v="2023-01-01T00:00:00"/>
        <d v="2023-02-27T00:00:00"/>
        <d v="2023-01-14T00:00:00"/>
        <d v="2023-03-25T00:00:00"/>
        <d v="2023-01-30T00:00:00"/>
        <d v="2023-03-03T00:00:00"/>
        <d v="2023-03-09T00:00:00"/>
        <d v="2023-01-17T00:00:00"/>
        <d v="2023-02-25T00:00:00"/>
        <d v="2023-01-23T00:00:00"/>
        <d v="2023-03-11T00:00:00"/>
        <d v="2023-01-16T00:00:00"/>
        <d v="2023-02-18T00:00:00"/>
        <d v="2023-02-05T00:00:00"/>
        <d v="2023-03-02T00:00:00"/>
      </sharedItems>
      <fieldGroup par="18"/>
    </cacheField>
    <cacheField name="Region" numFmtId="0">
      <sharedItems count="4">
        <s v="South"/>
        <s v="West"/>
        <s v="East"/>
        <s v="North"/>
      </sharedItems>
    </cacheField>
    <cacheField name="Product" numFmtId="0">
      <sharedItems count="10">
        <s v="Badminton Shuttle"/>
        <s v="Ball"/>
        <s v="Glue Stick"/>
        <s v="Pen"/>
        <s v="Marker"/>
        <s v="Calculator"/>
        <s v="Water Bottle"/>
        <s v="File Folder"/>
        <s v="Stapler"/>
        <s v="Notebook"/>
      </sharedItems>
    </cacheField>
    <cacheField name="Units" numFmtId="0">
      <sharedItems containsSemiMixedTypes="0" containsString="0" containsNumber="1" containsInteger="1" minValue="20" maxValue="195"/>
    </cacheField>
    <cacheField name="Price_per_unit" numFmtId="164">
      <sharedItems containsSemiMixedTypes="0" containsString="0" containsNumber="1" containsInteger="1" minValue="30" maxValue="90"/>
    </cacheField>
    <cacheField name="Gross Sales" numFmtId="164">
      <sharedItems containsSemiMixedTypes="0" containsString="0" containsNumber="1" containsInteger="1" minValue="630" maxValue="17072"/>
    </cacheField>
    <cacheField name="Discount" numFmtId="2">
      <sharedItems containsSemiMixedTypes="0" containsString="0" containsNumber="1" minValue="0.21" maxValue="0.9"/>
    </cacheField>
    <cacheField name="Net_Sales" numFmtId="164">
      <sharedItems containsSemiMixedTypes="0" containsString="0" containsNumber="1" minValue="287.03999999999996" maxValue="11001.76"/>
    </cacheField>
    <cacheField name="Discount_Amount" numFmtId="2">
      <sharedItems containsSemiMixedTypes="0" containsString="0" containsNumber="1" minValue="207.05999999999997" maxValue="13456.800000000001" count="149">
        <n v="1139.67"/>
        <n v="3050.3999999999996"/>
        <n v="8096.2800000000007"/>
        <n v="4289.4399999999996"/>
        <n v="2235.87"/>
        <n v="4166.4000000000005"/>
        <n v="1770.72"/>
        <n v="12170.439999999999"/>
        <n v="3385.2"/>
        <n v="6150.3"/>
        <n v="8137.32"/>
        <n v="1161"/>
        <n v="1415.99"/>
        <n v="7170.24"/>
        <n v="7595.52"/>
        <n v="1069.04"/>
        <n v="6447.36"/>
        <n v="1492.4"/>
        <n v="1943.92"/>
        <n v="7320"/>
        <n v="4835.5999999999995"/>
        <n v="2484"/>
        <n v="553"/>
        <n v="3074.76"/>
        <n v="1322.3999999999999"/>
        <n v="2040"/>
        <n v="2557.8000000000002"/>
        <n v="2534.4"/>
        <n v="3325.2"/>
        <n v="5155.84"/>
        <n v="13456.800000000001"/>
        <n v="1426.74"/>
        <n v="375"/>
        <n v="1090.56"/>
        <n v="1124.1999999999998"/>
        <n v="2222.2200000000003"/>
        <n v="5371.6799999999994"/>
        <n v="4823.28"/>
        <n v="2875.84"/>
        <n v="4088.9999999999995"/>
        <n v="723.6"/>
        <n v="5241.6000000000004"/>
        <n v="5056"/>
        <n v="1971.2"/>
        <n v="4277.2"/>
        <n v="6626.8799999999992"/>
        <n v="2080.35"/>
        <n v="1170.4000000000001"/>
        <n v="1904"/>
        <n v="3853.98"/>
        <n v="5040"/>
        <n v="3343.28"/>
        <n v="628.66"/>
        <n v="1989.6800000000003"/>
        <n v="1162.29"/>
        <n v="568.26"/>
        <n v="2780.52"/>
        <n v="5200.5199999999995"/>
        <n v="1409.3999999999999"/>
        <n v="6107.42"/>
        <n v="1215"/>
        <n v="3681.84"/>
        <n v="259.47000000000003"/>
        <n v="4257"/>
        <n v="2494.7999999999997"/>
        <n v="5335.2"/>
        <n v="335.40000000000003"/>
        <n v="617.76"/>
        <n v="960.96"/>
        <n v="5122.4400000000005"/>
        <n v="1391.28"/>
        <n v="8189.1399999999994"/>
        <n v="2326.56"/>
        <n v="1764.0000000000002"/>
        <n v="767.88"/>
        <n v="4014.7200000000003"/>
        <n v="6388.5099999999993"/>
        <n v="4719"/>
        <n v="4006.8"/>
        <n v="1157"/>
        <n v="5526.4"/>
        <n v="7226.7999999999993"/>
        <n v="4959.3599999999997"/>
        <n v="2451.5700000000002"/>
        <n v="9014.85"/>
        <n v="959.04"/>
        <n v="2374.4"/>
        <n v="1740.96"/>
        <n v="2968.5600000000004"/>
        <n v="1542.24"/>
        <n v="2380.3199999999997"/>
        <n v="1469.1"/>
        <n v="1600.5"/>
        <n v="7056.4"/>
        <n v="1986.45"/>
        <n v="9639"/>
        <n v="2320.5"/>
        <n v="1647"/>
        <n v="2174.08"/>
        <n v="7378.56"/>
        <n v="8593.1999999999989"/>
        <n v="6397.1600000000008"/>
        <n v="8842.68"/>
        <n v="4193.68"/>
        <n v="2543.1999999999998"/>
        <n v="3043.81"/>
        <n v="1686.3999999999999"/>
        <n v="992.16000000000008"/>
        <n v="10335.6"/>
        <n v="1883.97"/>
        <n v="2035"/>
        <n v="10373.32"/>
        <n v="3779.1"/>
        <n v="4335.21"/>
        <n v="4490.75"/>
        <n v="2080"/>
        <n v="552.71999999999991"/>
        <n v="4675.3900000000003"/>
        <n v="356.40000000000003"/>
        <n v="3685.5"/>
        <n v="2509.92"/>
        <n v="207.9"/>
        <n v="7925.7599999999993"/>
        <n v="7164.3"/>
        <n v="1039.74"/>
        <n v="207.05999999999997"/>
        <n v="2716.56"/>
        <n v="316.67999999999995"/>
        <n v="1764.72"/>
        <n v="2010.6599999999999"/>
        <n v="1897.4999999999998"/>
        <n v="2541.35"/>
        <n v="5087.28"/>
        <n v="895.4"/>
        <n v="3386.8799999999997"/>
        <n v="11179.29"/>
        <n v="1939.5199999999998"/>
        <n v="2476.8000000000002"/>
        <n v="589.04999999999995"/>
        <n v="3474.24"/>
        <n v="6382.5"/>
        <n v="2762.1"/>
        <n v="2107"/>
        <n v="1463.28"/>
        <n v="4090.2400000000002"/>
        <n v="998.40000000000009"/>
        <n v="7576.2400000000007"/>
        <n v="2023.56"/>
        <n v="2505.36"/>
      </sharedItems>
    </cacheField>
    <cacheField name="Cost_per_unit" numFmtId="164">
      <sharedItems containsSemiMixedTypes="0" containsString="0" containsNumber="1" minValue="2.9999999999999991" maxValue="60.72"/>
    </cacheField>
    <cacheField name="Total_Cost" numFmtId="164">
      <sharedItems containsSemiMixedTypes="0" containsString="0" containsNumber="1" minValue="62.999999999999979" maxValue="8848"/>
    </cacheField>
    <cacheField name="Profit" numFmtId="164">
      <sharedItems containsSemiMixedTypes="0" containsString="0" containsNumber="1" minValue="-5669.1399999999994" maxValue="7856.1900000000005" count="148">
        <n v="-90.450000000000273"/>
        <n v="74.400000000000546"/>
        <n v="966.71999999999935"/>
        <n v="-1975.4"/>
        <n v="2751.84"/>
        <n v="-1249.9200000000005"/>
        <n v="-421.60000000000014"/>
        <n v="-5046.2799999999988"/>
        <n v="580.31999999999971"/>
        <n v="-2759.75"/>
        <n v="-490.19999999999891"/>
        <n v="2709"/>
        <n v="1913.4999999999998"/>
        <n v="6999.5199999999986"/>
        <n v="-2729.6400000000012"/>
        <n v="325.3599999999999"/>
        <n v="-805.92000000000007"/>
        <n v="401.80000000000018"/>
        <n v="3092.6000000000004"/>
        <n v="0"/>
        <n v="967.11999999999989"/>
        <n v="66.240000000000236"/>
        <n v="79"/>
        <n v="1594.3199999999988"/>
        <n v="-44.079999999999927"/>
        <n v="-216"/>
        <n v="-81.200000000000273"/>
        <n v="-897.59999999999991"/>
        <n v="942.14000000000033"/>
        <n v="-1361.92"/>
        <n v="-2242.8000000000011"/>
        <n v="-288.96000000000004"/>
        <n v="239.99999999999989"/>
        <n v="-322.55999999999995"/>
        <n v="240.90000000000009"/>
        <n v="3097.6400000000003"/>
        <n v="-282.71999999999844"/>
        <n v="-1224.96"/>
        <n v="-378.39999999999964"/>
        <n v="5640"/>
        <n v="217.08000000000004"/>
        <n v="748.79999999999927"/>
        <n v="-1264"/>
        <n v="268.79999999999995"/>
        <n v="1849.6000000000004"/>
        <n v="-2583.3599999999997"/>
        <n v="-341.54999999999973"/>
        <n v="292.59999999999991"/>
        <n v="-666.40000000000009"/>
        <n v="7856.1900000000005"/>
        <n v="-2855.9999999999995"/>
        <n v="508.76000000000022"/>
        <n v="555.56000000000006"/>
        <n v="1350.1399999999994"/>
        <n v="837.93000000000006"/>
        <n v="135.30000000000007"/>
        <n v="-1342.3200000000002"/>
        <n v="-641.15999999999894"/>
        <n v="2284.2000000000007"/>
        <n v="-1806.42"/>
        <n v="337.5"/>
        <n v="1600.8000000000002"/>
        <n v="355.56999999999994"/>
        <n v="-297"/>
        <n v="-1069.1999999999998"/>
        <n v="-1915.1999999999998"/>
        <n v="477.3"/>
        <n v="403.91999999999985"/>
        <n v="-499.20000000000005"/>
        <n v="-505.92000000000098"/>
        <n v="-21.079999999999927"/>
        <n v="-2804.5"/>
        <n v="1194.7200000000003"/>
        <n v="1007.9999999999998"/>
        <n v="995.4"/>
        <n v="-1653.12"/>
        <n v="461.82000000000062"/>
        <n v="-858.00000000000091"/>
        <n v="1869.8400000000001"/>
        <n v="786.76"/>
        <n v="1381.6000000000004"/>
        <n v="3613.4000000000015"/>
        <n v="-3188.1599999999989"/>
        <n v="5009.7299999999996"/>
        <n v="-2421.8999999999996"/>
        <n v="-427.68000000000006"/>
        <n v="816.19999999999982"/>
        <n v="1160.6399999999999"/>
        <n v="4664.88"/>
        <n v="362.87999999999988"/>
        <n v="-83.519999999999527"/>
        <n v="-283.19999999999982"/>
        <n v="4074"/>
        <n v="1674.3999999999996"/>
        <n v="-981.54000000000019"/>
        <n v="-1587.6000000000004"/>
        <n v="821.09999999999991"/>
        <n v="2415.6"/>
        <n v="1902.3200000000002"/>
        <n v="819.83999999999924"/>
        <n v="-3273.5999999999985"/>
        <n v="-3246.3200000000006"/>
        <n v="-3674.88"/>
        <n v="946.96"/>
        <n v="-635.79999999999927"/>
        <n v="1550.34"/>
        <n v="-980.20999999999958"/>
        <n v="508.79999999999995"/>
        <n v="-2231.5500000000011"/>
        <n v="5827.5"/>
        <n v="-5669.1399999999994"/>
        <n v="2131.7999999999997"/>
        <n v="-1046.4299999999998"/>
        <n v="1469.6999999999998"/>
        <n v="1331.1999999999998"/>
        <n v="-188.15999999999985"/>
        <n v="2500.79"/>
        <n v="79.200000000000102"/>
        <n v="442.26000000000022"/>
        <n v="-937.44"/>
        <n v="359.1"/>
        <n v="6109.4400000000014"/>
        <n v="1845.3499999999995"/>
        <n v="-413.23000000000013"/>
        <n v="385.56000000000006"/>
        <n v="1852.2000000000003"/>
        <n v="469.56000000000006"/>
        <n v="510.83999999999992"/>
        <n v="-786.7800000000002"/>
        <n v="-797.49999999999977"/>
        <n v="2323.5200000000009"/>
        <n v="-1731.8399999999992"/>
        <n v="1139.5999999999999"/>
        <n v="-1693.4399999999996"/>
        <n v="-879.27000000000044"/>
        <n v="133.76000000000045"/>
        <n v="-633.60000000000036"/>
        <n v="370.26"/>
        <n v="6803.7199999999993"/>
        <n v="-3795"/>
        <n v="267.30000000000155"/>
        <n v="-632.09999999999991"/>
        <n v="3902.0800000000008"/>
        <n v="-371.8400000000006"/>
        <n v="549.11999999999989"/>
        <n v="1758.7699999999977"/>
        <n v="120.45000000000027"/>
        <n v="5352.3599999999988"/>
      </sharedItems>
    </cacheField>
    <cacheField name="Profit_Margin" numFmtId="164">
      <sharedItems containsSemiMixedTypes="0" containsString="0" containsNumber="1" minValue="-5.1000000000000005" maxValue="0.86301369863013699"/>
    </cacheField>
    <cacheField name="Month_Start" numFmtId="14">
      <sharedItems containsSemiMixedTypes="0" containsNonDate="0" containsDate="1" containsString="0" minDate="2023-01-01T00:00:00" maxDate="2023-03-02T00:00:00" count="3">
        <d v="2023-02-01T00:00:00"/>
        <d v="2023-01-01T00:00:00"/>
        <d v="2023-03-01T00:00:00"/>
      </sharedItems>
      <fieldGroup par="16"/>
    </cacheField>
    <cacheField name="Category" numFmtId="164">
      <sharedItems/>
    </cacheField>
    <cacheField name="Days (Month_Start)" numFmtId="0" databaseField="0">
      <fieldGroup base="13">
        <rangePr groupBy="days" startDate="2023-01-01T00:00:00" endDate="2023-03-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3"/>
        </groupItems>
      </fieldGroup>
    </cacheField>
    <cacheField name="Months (Month_Start)" numFmtId="0" databaseField="0">
      <fieldGroup base="13">
        <rangePr groupBy="months" startDate="2023-01-01T00:00:00" endDate="2023-03-02T00:00:00"/>
        <groupItems count="14">
          <s v="&lt;01-01-2023"/>
          <s v="Jan"/>
          <s v="Feb"/>
          <s v="Mar"/>
          <s v="Apr"/>
          <s v="May"/>
          <s v="Jun"/>
          <s v="Jul"/>
          <s v="Aug"/>
          <s v="Sep"/>
          <s v="Oct"/>
          <s v="Nov"/>
          <s v="Dec"/>
          <s v="&gt;02-03-2023"/>
        </groupItems>
      </fieldGroup>
    </cacheField>
    <cacheField name="Days (Date)" numFmtId="0" databaseField="0">
      <fieldGroup base="0">
        <rangePr groupBy="days" startDate="2023-01-01T00:00:00" endDate="2023-03-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3"/>
        </groupItems>
      </fieldGroup>
    </cacheField>
    <cacheField name="Months (Date)" numFmtId="0" databaseField="0">
      <fieldGroup base="0">
        <rangePr groupBy="months" startDate="2023-01-01T00:00:00" endDate="2023-03-31T00:00:00"/>
        <groupItems count="14">
          <s v="&lt;01-01-2023"/>
          <s v="Jan"/>
          <s v="Feb"/>
          <s v="Mar"/>
          <s v="Apr"/>
          <s v="May"/>
          <s v="Jun"/>
          <s v="Jul"/>
          <s v="Aug"/>
          <s v="Sep"/>
          <s v="Oct"/>
          <s v="Nov"/>
          <s v="Dec"/>
          <s v="&gt;31-03-2023"/>
        </groupItems>
      </fieldGroup>
    </cacheField>
  </cacheFields>
  <extLst>
    <ext xmlns:x14="http://schemas.microsoft.com/office/spreadsheetml/2009/9/main" uri="{725AE2AE-9491-48be-B2B4-4EB974FC3084}">
      <x14:pivotCacheDefinition pivotCacheId="192212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n v="27"/>
    <n v="67"/>
    <n v="1809"/>
    <n v="0.63"/>
    <n v="669.33"/>
    <x v="0"/>
    <n v="28.140000000000004"/>
    <n v="759.78000000000009"/>
    <x v="0"/>
    <n v="-0.13513513513513553"/>
    <x v="0"/>
    <s v="Sports"/>
  </r>
  <r>
    <x v="1"/>
    <x v="1"/>
    <x v="1"/>
    <n v="60"/>
    <n v="62"/>
    <n v="3720"/>
    <n v="0.82"/>
    <n v="669.60000000000014"/>
    <x v="1"/>
    <n v="9.9200000000000017"/>
    <n v="595.20000000000005"/>
    <x v="1"/>
    <n v="0.11111111111111191"/>
    <x v="1"/>
    <s v="Sports"/>
  </r>
  <r>
    <x v="2"/>
    <x v="2"/>
    <x v="2"/>
    <n v="159"/>
    <n v="76"/>
    <n v="12084"/>
    <n v="0.67"/>
    <n v="3987.7199999999993"/>
    <x v="2"/>
    <n v="19"/>
    <n v="3021"/>
    <x v="2"/>
    <n v="0.24242424242424229"/>
    <x v="1"/>
    <s v="Accessories"/>
  </r>
  <r>
    <x v="3"/>
    <x v="3"/>
    <x v="3"/>
    <n v="166"/>
    <n v="34"/>
    <n v="5644"/>
    <n v="0.76"/>
    <n v="1354.56"/>
    <x v="3"/>
    <n v="20.060000000000002"/>
    <n v="3329.9600000000005"/>
    <x v="3"/>
    <n v="-1.4583333333333335"/>
    <x v="0"/>
    <s v="Stationery"/>
  </r>
  <r>
    <x v="4"/>
    <x v="1"/>
    <x v="4"/>
    <n v="117"/>
    <n v="49"/>
    <n v="5733"/>
    <n v="0.39"/>
    <n v="3497.13"/>
    <x v="4"/>
    <n v="6.37"/>
    <n v="745.29"/>
    <x v="4"/>
    <n v="0.78688524590163933"/>
    <x v="1"/>
    <s v="Stationery"/>
  </r>
  <r>
    <x v="5"/>
    <x v="0"/>
    <x v="5"/>
    <n v="84"/>
    <n v="62"/>
    <n v="5208"/>
    <n v="0.8"/>
    <n v="1041.5999999999997"/>
    <x v="5"/>
    <n v="27.279999999999998"/>
    <n v="2291.52"/>
    <x v="5"/>
    <n v="-1.2000000000000008"/>
    <x v="2"/>
    <s v="Accessories"/>
  </r>
  <r>
    <x v="6"/>
    <x v="3"/>
    <x v="6"/>
    <n v="62"/>
    <n v="34"/>
    <n v="2108"/>
    <n v="0.84"/>
    <n v="337.28000000000009"/>
    <x v="6"/>
    <n v="12.24"/>
    <n v="758.88"/>
    <x v="6"/>
    <n v="-1.25"/>
    <x v="1"/>
    <s v="Sports"/>
  </r>
  <r>
    <x v="7"/>
    <x v="1"/>
    <x v="6"/>
    <n v="181"/>
    <n v="82"/>
    <n v="14842"/>
    <n v="0.82"/>
    <n v="2671.5600000000009"/>
    <x v="7"/>
    <n v="42.64"/>
    <n v="7717.84"/>
    <x v="7"/>
    <n v="-1.888888888888888"/>
    <x v="0"/>
    <s v="Sports"/>
  </r>
  <r>
    <x v="8"/>
    <x v="3"/>
    <x v="0"/>
    <n v="186"/>
    <n v="52"/>
    <n v="9672"/>
    <n v="0.35"/>
    <n v="6286.8"/>
    <x v="8"/>
    <n v="30.680000000000003"/>
    <n v="5706.4800000000005"/>
    <x v="8"/>
    <n v="9.2307692307692257E-2"/>
    <x v="1"/>
    <s v="Sports"/>
  </r>
  <r>
    <x v="9"/>
    <x v="0"/>
    <x v="6"/>
    <n v="95"/>
    <n v="83"/>
    <n v="7885"/>
    <n v="0.78"/>
    <n v="1734.6999999999998"/>
    <x v="9"/>
    <n v="47.31"/>
    <n v="4494.45"/>
    <x v="9"/>
    <n v="-1.5909090909090911"/>
    <x v="0"/>
    <s v="Sports"/>
  </r>
  <r>
    <x v="10"/>
    <x v="1"/>
    <x v="3"/>
    <n v="129"/>
    <n v="76"/>
    <n v="9804"/>
    <n v="0.83"/>
    <n v="1666.6800000000003"/>
    <x v="10"/>
    <n v="16.72"/>
    <n v="2156.8799999999997"/>
    <x v="10"/>
    <n v="-0.29411764705882282"/>
    <x v="1"/>
    <s v="Stationery"/>
  </r>
  <r>
    <x v="11"/>
    <x v="1"/>
    <x v="0"/>
    <n v="50"/>
    <n v="86"/>
    <n v="4300"/>
    <n v="0.27"/>
    <n v="3139"/>
    <x v="11"/>
    <n v="8.5999999999999979"/>
    <n v="429.99999999999989"/>
    <x v="11"/>
    <n v="0.86301369863013699"/>
    <x v="0"/>
    <s v="Sports"/>
  </r>
  <r>
    <x v="12"/>
    <x v="2"/>
    <x v="4"/>
    <n v="43"/>
    <n v="89"/>
    <n v="3827"/>
    <n v="0.37"/>
    <n v="2411.0100000000002"/>
    <x v="12"/>
    <n v="11.57"/>
    <n v="497.51"/>
    <x v="12"/>
    <n v="0.7936507936507935"/>
    <x v="1"/>
    <s v="Stationery"/>
  </r>
  <r>
    <x v="13"/>
    <x v="2"/>
    <x v="7"/>
    <n v="194"/>
    <n v="88"/>
    <n v="17072"/>
    <n v="0.42"/>
    <n v="9901.760000000002"/>
    <x v="13"/>
    <n v="14.960000000000004"/>
    <n v="2902.2400000000007"/>
    <x v="13"/>
    <n v="0.70689655172413768"/>
    <x v="1"/>
    <s v="Accessories"/>
  </r>
  <r>
    <x v="14"/>
    <x v="2"/>
    <x v="2"/>
    <n v="138"/>
    <n v="86"/>
    <n v="11868"/>
    <n v="0.64"/>
    <n v="4272.4799999999996"/>
    <x v="14"/>
    <n v="50.740000000000009"/>
    <n v="7002.1200000000008"/>
    <x v="14"/>
    <n v="-0.63888888888888928"/>
    <x v="1"/>
    <s v="Accessories"/>
  </r>
  <r>
    <x v="15"/>
    <x v="1"/>
    <x v="1"/>
    <n v="28"/>
    <n v="83"/>
    <n v="2324"/>
    <n v="0.46"/>
    <n v="1254.96"/>
    <x v="15"/>
    <n v="33.200000000000003"/>
    <n v="929.60000000000014"/>
    <x v="15"/>
    <n v="0.25925925925925919"/>
    <x v="2"/>
    <s v="Sports"/>
  </r>
  <r>
    <x v="16"/>
    <x v="1"/>
    <x v="7"/>
    <n v="184"/>
    <n v="73"/>
    <n v="13432"/>
    <n v="0.48"/>
    <n v="6984.64"/>
    <x v="16"/>
    <n v="42.34"/>
    <n v="7790.56"/>
    <x v="16"/>
    <n v="-0.11538461538461539"/>
    <x v="2"/>
    <s v="Accessories"/>
  </r>
  <r>
    <x v="17"/>
    <x v="1"/>
    <x v="5"/>
    <n v="82"/>
    <n v="35"/>
    <n v="2870"/>
    <n v="0.52"/>
    <n v="1377.6"/>
    <x v="17"/>
    <n v="11.899999999999999"/>
    <n v="975.79999999999984"/>
    <x v="17"/>
    <n v="0.2916666666666668"/>
    <x v="1"/>
    <s v="Accessories"/>
  </r>
  <r>
    <x v="18"/>
    <x v="0"/>
    <x v="1"/>
    <n v="188"/>
    <n v="47"/>
    <n v="8836"/>
    <n v="0.22"/>
    <n v="6892.08"/>
    <x v="18"/>
    <n v="20.21"/>
    <n v="3799.48"/>
    <x v="18"/>
    <n v="0.44871794871794879"/>
    <x v="0"/>
    <s v="Sports"/>
  </r>
  <r>
    <x v="19"/>
    <x v="2"/>
    <x v="7"/>
    <n v="160"/>
    <n v="75"/>
    <n v="12000"/>
    <n v="0.61"/>
    <n v="4680"/>
    <x v="19"/>
    <n v="29.25"/>
    <n v="4680"/>
    <x v="19"/>
    <n v="0"/>
    <x v="0"/>
    <s v="Accessories"/>
  </r>
  <r>
    <x v="5"/>
    <x v="0"/>
    <x v="4"/>
    <n v="157"/>
    <n v="44"/>
    <n v="6908"/>
    <n v="0.7"/>
    <n v="2072.4"/>
    <x v="20"/>
    <n v="7.0400000000000009"/>
    <n v="1105.2800000000002"/>
    <x v="20"/>
    <n v="0.46666666666666662"/>
    <x v="2"/>
    <s v="Stationery"/>
  </r>
  <r>
    <x v="20"/>
    <x v="2"/>
    <x v="6"/>
    <n v="72"/>
    <n v="46"/>
    <n v="3312"/>
    <n v="0.75"/>
    <n v="828"/>
    <x v="21"/>
    <n v="10.579999999999998"/>
    <n v="761.75999999999988"/>
    <x v="21"/>
    <n v="8.0000000000000279E-2"/>
    <x v="1"/>
    <s v="Sports"/>
  </r>
  <r>
    <x v="21"/>
    <x v="0"/>
    <x v="3"/>
    <n v="20"/>
    <n v="79"/>
    <n v="1580"/>
    <n v="0.35"/>
    <n v="1027"/>
    <x v="22"/>
    <n v="47.4"/>
    <n v="948"/>
    <x v="22"/>
    <n v="7.6923076923076927E-2"/>
    <x v="0"/>
    <s v="Stationery"/>
  </r>
  <r>
    <x v="22"/>
    <x v="2"/>
    <x v="7"/>
    <n v="156"/>
    <n v="73"/>
    <n v="11388"/>
    <n v="0.27"/>
    <n v="8313.24"/>
    <x v="23"/>
    <n v="43.070000000000007"/>
    <n v="6718.920000000001"/>
    <x v="23"/>
    <n v="0.19178082191780807"/>
    <x v="2"/>
    <s v="Accessories"/>
  </r>
  <r>
    <x v="11"/>
    <x v="1"/>
    <x v="5"/>
    <n v="38"/>
    <n v="58"/>
    <n v="2204"/>
    <n v="0.6"/>
    <n v="881.6"/>
    <x v="24"/>
    <n v="24.360000000000003"/>
    <n v="925.68000000000006"/>
    <x v="24"/>
    <n v="-4.999999999999992E-2"/>
    <x v="0"/>
    <s v="Accessories"/>
  </r>
  <r>
    <x v="21"/>
    <x v="0"/>
    <x v="2"/>
    <n v="60"/>
    <n v="40"/>
    <n v="2400"/>
    <n v="0.85"/>
    <n v="360.00000000000006"/>
    <x v="25"/>
    <n v="9.6"/>
    <n v="576"/>
    <x v="25"/>
    <n v="-0.59999999999999987"/>
    <x v="0"/>
    <s v="Accessories"/>
  </r>
  <r>
    <x v="23"/>
    <x v="0"/>
    <x v="1"/>
    <n v="58"/>
    <n v="70"/>
    <n v="4060"/>
    <n v="0.63"/>
    <n v="1502.2"/>
    <x v="26"/>
    <n v="27.3"/>
    <n v="1583.4"/>
    <x v="26"/>
    <n v="-5.4054054054054237E-2"/>
    <x v="2"/>
    <s v="Sports"/>
  </r>
  <r>
    <x v="15"/>
    <x v="0"/>
    <x v="7"/>
    <n v="120"/>
    <n v="44"/>
    <n v="5280"/>
    <n v="0.48"/>
    <n v="2745.6"/>
    <x v="27"/>
    <n v="30.36"/>
    <n v="3643.2"/>
    <x v="27"/>
    <n v="-0.32692307692307693"/>
    <x v="2"/>
    <s v="Accessories"/>
  </r>
  <r>
    <x v="5"/>
    <x v="0"/>
    <x v="8"/>
    <n v="163"/>
    <n v="34"/>
    <n v="5542"/>
    <n v="0.6"/>
    <n v="2216.8000000000002"/>
    <x v="28"/>
    <n v="7.8199999999999994"/>
    <n v="1274.6599999999999"/>
    <x v="28"/>
    <n v="0.4250000000000001"/>
    <x v="2"/>
    <s v="Accessories"/>
  </r>
  <r>
    <x v="24"/>
    <x v="3"/>
    <x v="3"/>
    <n v="128"/>
    <n v="76"/>
    <n v="9728"/>
    <n v="0.53"/>
    <n v="4572.16"/>
    <x v="29"/>
    <n v="46.36"/>
    <n v="5934.08"/>
    <x v="29"/>
    <n v="-0.29787234042553196"/>
    <x v="1"/>
    <s v="Stationery"/>
  </r>
  <r>
    <x v="25"/>
    <x v="3"/>
    <x v="1"/>
    <n v="168"/>
    <n v="89"/>
    <n v="14952"/>
    <n v="0.9"/>
    <n v="1495.1999999999996"/>
    <x v="30"/>
    <n v="22.25"/>
    <n v="3738"/>
    <x v="30"/>
    <n v="-1.5000000000000011"/>
    <x v="2"/>
    <s v="Sports"/>
  </r>
  <r>
    <x v="26"/>
    <x v="1"/>
    <x v="0"/>
    <n v="21"/>
    <n v="86"/>
    <n v="1806"/>
    <n v="0.79"/>
    <n v="379.25999999999993"/>
    <x v="31"/>
    <n v="31.82"/>
    <n v="668.22"/>
    <x v="31"/>
    <n v="-0.76190476190476208"/>
    <x v="0"/>
    <s v="Sports"/>
  </r>
  <r>
    <x v="27"/>
    <x v="3"/>
    <x v="5"/>
    <n v="20"/>
    <n v="75"/>
    <n v="1500"/>
    <n v="0.25"/>
    <n v="1125"/>
    <x v="32"/>
    <n v="44.250000000000007"/>
    <n v="885.00000000000011"/>
    <x v="32"/>
    <n v="0.21333333333333324"/>
    <x v="2"/>
    <s v="Accessories"/>
  </r>
  <r>
    <x v="28"/>
    <x v="1"/>
    <x v="7"/>
    <n v="32"/>
    <n v="48"/>
    <n v="1536"/>
    <n v="0.71"/>
    <n v="445.44000000000005"/>
    <x v="33"/>
    <n v="24"/>
    <n v="768"/>
    <x v="33"/>
    <n v="-0.72413793103448254"/>
    <x v="2"/>
    <s v="Accessories"/>
  </r>
  <r>
    <x v="29"/>
    <x v="3"/>
    <x v="4"/>
    <n v="22"/>
    <n v="73"/>
    <n v="1606"/>
    <n v="0.7"/>
    <n v="481.80000000000007"/>
    <x v="34"/>
    <n v="10.950000000000001"/>
    <n v="240.90000000000003"/>
    <x v="34"/>
    <n v="0.50000000000000011"/>
    <x v="1"/>
    <s v="Stationery"/>
  </r>
  <r>
    <x v="30"/>
    <x v="2"/>
    <x v="3"/>
    <n v="91"/>
    <n v="74"/>
    <n v="6734"/>
    <n v="0.33"/>
    <n v="4511.78"/>
    <x v="35"/>
    <n v="15.539999999999997"/>
    <n v="1414.1399999999999"/>
    <x v="35"/>
    <n v="0.68656716417910457"/>
    <x v="2"/>
    <s v="Stationery"/>
  </r>
  <r>
    <x v="31"/>
    <x v="2"/>
    <x v="1"/>
    <n v="124"/>
    <n v="76"/>
    <n v="9424"/>
    <n v="0.56999999999999995"/>
    <n v="4052.3200000000006"/>
    <x v="36"/>
    <n v="34.959999999999994"/>
    <n v="4335.0399999999991"/>
    <x v="36"/>
    <n v="-6.9767441860464713E-2"/>
    <x v="2"/>
    <s v="Sports"/>
  </r>
  <r>
    <x v="32"/>
    <x v="1"/>
    <x v="4"/>
    <n v="116"/>
    <n v="66"/>
    <n v="7656"/>
    <n v="0.63"/>
    <n v="2832.72"/>
    <x v="37"/>
    <n v="34.980000000000004"/>
    <n v="4057.6800000000003"/>
    <x v="37"/>
    <n v="-0.43243243243243246"/>
    <x v="1"/>
    <s v="Stationery"/>
  </r>
  <r>
    <x v="30"/>
    <x v="0"/>
    <x v="9"/>
    <n v="86"/>
    <n v="88"/>
    <n v="7568"/>
    <n v="0.38"/>
    <n v="4692.16"/>
    <x v="38"/>
    <n v="58.959999999999994"/>
    <n v="5070.5599999999995"/>
    <x v="38"/>
    <n v="-8.0645161290322509E-2"/>
    <x v="2"/>
    <s v="Stationery"/>
  </r>
  <r>
    <x v="33"/>
    <x v="1"/>
    <x v="5"/>
    <n v="188"/>
    <n v="75"/>
    <n v="14100"/>
    <n v="0.28999999999999998"/>
    <n v="10011"/>
    <x v="39"/>
    <n v="23.250000000000004"/>
    <n v="4371.0000000000009"/>
    <x v="39"/>
    <n v="0.56338028169014087"/>
    <x v="0"/>
    <s v="Accessories"/>
  </r>
  <r>
    <x v="34"/>
    <x v="3"/>
    <x v="2"/>
    <n v="27"/>
    <n v="67"/>
    <n v="1809"/>
    <n v="0.4"/>
    <n v="1085.3999999999999"/>
    <x v="40"/>
    <n v="32.159999999999997"/>
    <n v="868.31999999999994"/>
    <x v="40"/>
    <n v="0.20000000000000007"/>
    <x v="0"/>
    <s v="Accessories"/>
  </r>
  <r>
    <x v="5"/>
    <x v="1"/>
    <x v="3"/>
    <n v="120"/>
    <n v="78"/>
    <n v="9360"/>
    <n v="0.56000000000000005"/>
    <n v="4118.3999999999996"/>
    <x v="41"/>
    <n v="28.08"/>
    <n v="3369.6"/>
    <x v="41"/>
    <n v="0.18181818181818166"/>
    <x v="2"/>
    <s v="Stationery"/>
  </r>
  <r>
    <x v="35"/>
    <x v="1"/>
    <x v="6"/>
    <n v="158"/>
    <n v="80"/>
    <n v="12640"/>
    <n v="0.4"/>
    <n v="7584"/>
    <x v="42"/>
    <n v="56"/>
    <n v="8848"/>
    <x v="42"/>
    <n v="-0.16666666666666666"/>
    <x v="0"/>
    <s v="Sports"/>
  </r>
  <r>
    <x v="36"/>
    <x v="3"/>
    <x v="0"/>
    <n v="56"/>
    <n v="80"/>
    <n v="4480"/>
    <n v="0.44"/>
    <n v="2508.8000000000002"/>
    <x v="43"/>
    <n v="40"/>
    <n v="2240"/>
    <x v="43"/>
    <n v="0.10714285714285712"/>
    <x v="2"/>
    <s v="Sports"/>
  </r>
  <r>
    <x v="16"/>
    <x v="0"/>
    <x v="9"/>
    <n v="136"/>
    <n v="85"/>
    <n v="11560"/>
    <n v="0.37"/>
    <n v="7282.8"/>
    <x v="44"/>
    <n v="39.949999999999996"/>
    <n v="5433.2"/>
    <x v="44"/>
    <n v="0.25396825396825401"/>
    <x v="2"/>
    <s v="Stationery"/>
  </r>
  <r>
    <x v="37"/>
    <x v="3"/>
    <x v="7"/>
    <n v="144"/>
    <n v="78"/>
    <n v="11232"/>
    <n v="0.59"/>
    <n v="4605.1200000000008"/>
    <x v="45"/>
    <n v="49.92"/>
    <n v="7188.4800000000005"/>
    <x v="45"/>
    <n v="-0.56097560975609739"/>
    <x v="0"/>
    <s v="Accessories"/>
  </r>
  <r>
    <x v="38"/>
    <x v="1"/>
    <x v="0"/>
    <n v="69"/>
    <n v="45"/>
    <n v="3105"/>
    <n v="0.67"/>
    <n v="1024.6499999999999"/>
    <x v="46"/>
    <n v="19.799999999999997"/>
    <n v="1366.1999999999998"/>
    <x v="46"/>
    <n v="-0.33333333333333309"/>
    <x v="1"/>
    <s v="Sports"/>
  </r>
  <r>
    <x v="39"/>
    <x v="3"/>
    <x v="3"/>
    <n v="110"/>
    <n v="38"/>
    <n v="4180"/>
    <n v="0.28000000000000003"/>
    <n v="3009.6"/>
    <x v="47"/>
    <n v="24.7"/>
    <n v="2717"/>
    <x v="47"/>
    <n v="9.7222222222222196E-2"/>
    <x v="0"/>
    <s v="Stationery"/>
  </r>
  <r>
    <x v="38"/>
    <x v="3"/>
    <x v="1"/>
    <n v="35"/>
    <n v="68"/>
    <n v="2380"/>
    <n v="0.8"/>
    <n v="475.99999999999989"/>
    <x v="48"/>
    <n v="32.64"/>
    <n v="1142.4000000000001"/>
    <x v="48"/>
    <n v="-1.4000000000000006"/>
    <x v="1"/>
    <s v="Sports"/>
  </r>
  <r>
    <x v="25"/>
    <x v="3"/>
    <x v="1"/>
    <n v="183"/>
    <n v="81"/>
    <n v="14823"/>
    <n v="0.26"/>
    <n v="10969.02"/>
    <x v="49"/>
    <n v="17.009999999999998"/>
    <n v="3112.8299999999995"/>
    <x v="49"/>
    <n v="0.71621621621621623"/>
    <x v="2"/>
    <s v="Sports"/>
  </r>
  <r>
    <x v="40"/>
    <x v="0"/>
    <x v="5"/>
    <n v="80"/>
    <n v="70"/>
    <n v="5600"/>
    <n v="0.9"/>
    <n v="559.99999999999989"/>
    <x v="50"/>
    <n v="42.699999999999996"/>
    <n v="3415.9999999999995"/>
    <x v="50"/>
    <n v="-5.1000000000000005"/>
    <x v="0"/>
    <s v="Accessories"/>
  </r>
  <r>
    <x v="41"/>
    <x v="2"/>
    <x v="2"/>
    <n v="158"/>
    <n v="46"/>
    <n v="7268"/>
    <n v="0.46"/>
    <n v="3924.7200000000003"/>
    <x v="51"/>
    <n v="21.619999999999997"/>
    <n v="3415.9599999999996"/>
    <x v="51"/>
    <n v="0.12962962962962968"/>
    <x v="1"/>
    <s v="Accessories"/>
  </r>
  <r>
    <x v="15"/>
    <x v="1"/>
    <x v="0"/>
    <n v="34"/>
    <n v="43"/>
    <n v="1462"/>
    <n v="0.43"/>
    <n v="833.34000000000015"/>
    <x v="52"/>
    <n v="8.1699999999999982"/>
    <n v="277.77999999999992"/>
    <x v="52"/>
    <n v="0.66666666666666663"/>
    <x v="2"/>
    <s v="Sports"/>
  </r>
  <r>
    <x v="42"/>
    <x v="3"/>
    <x v="6"/>
    <n v="187"/>
    <n v="38"/>
    <n v="7106"/>
    <n v="0.28000000000000003"/>
    <n v="5116.32"/>
    <x v="53"/>
    <n v="20.14"/>
    <n v="3766.1800000000003"/>
    <x v="53"/>
    <n v="0.26388888888888878"/>
    <x v="2"/>
    <s v="Sports"/>
  </r>
  <r>
    <x v="43"/>
    <x v="1"/>
    <x v="1"/>
    <n v="53"/>
    <n v="51"/>
    <n v="2703"/>
    <n v="0.43"/>
    <n v="1540.7100000000003"/>
    <x v="54"/>
    <n v="13.26"/>
    <n v="702.78"/>
    <x v="54"/>
    <n v="0.54385964912280693"/>
    <x v="2"/>
    <s v="Sports"/>
  </r>
  <r>
    <x v="44"/>
    <x v="0"/>
    <x v="4"/>
    <n v="33"/>
    <n v="41"/>
    <n v="1353"/>
    <n v="0.42"/>
    <n v="784.74000000000012"/>
    <x v="55"/>
    <n v="19.68"/>
    <n v="649.43999999999994"/>
    <x v="55"/>
    <n v="0.17241379310344834"/>
    <x v="2"/>
    <s v="Stationery"/>
  </r>
  <r>
    <x v="33"/>
    <x v="1"/>
    <x v="0"/>
    <n v="94"/>
    <n v="34"/>
    <n v="3196"/>
    <n v="0.87"/>
    <n v="415.48"/>
    <x v="56"/>
    <n v="18.700000000000003"/>
    <n v="1757.8000000000002"/>
    <x v="56"/>
    <n v="-3.2307692307692308"/>
    <x v="0"/>
    <s v="Sports"/>
  </r>
  <r>
    <x v="45"/>
    <x v="0"/>
    <x v="0"/>
    <n v="137"/>
    <n v="52"/>
    <n v="7124"/>
    <n v="0.73"/>
    <n v="1923.48"/>
    <x v="57"/>
    <n v="18.72"/>
    <n v="2564.64"/>
    <x v="57"/>
    <n v="-0.33333333333333276"/>
    <x v="2"/>
    <s v="Sports"/>
  </r>
  <r>
    <x v="46"/>
    <x v="0"/>
    <x v="6"/>
    <n v="81"/>
    <n v="60"/>
    <n v="4860"/>
    <n v="0.28999999999999998"/>
    <n v="3450.6"/>
    <x v="58"/>
    <n v="14.399999999999999"/>
    <n v="1166.3999999999999"/>
    <x v="58"/>
    <n v="0.66197183098591572"/>
    <x v="2"/>
    <s v="Sports"/>
  </r>
  <r>
    <x v="47"/>
    <x v="3"/>
    <x v="1"/>
    <n v="187"/>
    <n v="46"/>
    <n v="8602"/>
    <n v="0.71"/>
    <n v="2494.5800000000004"/>
    <x v="59"/>
    <n v="23"/>
    <n v="4301"/>
    <x v="59"/>
    <n v="-0.72413793103448265"/>
    <x v="1"/>
    <s v="Sports"/>
  </r>
  <r>
    <x v="48"/>
    <x v="1"/>
    <x v="7"/>
    <n v="75"/>
    <n v="45"/>
    <n v="3375"/>
    <n v="0.36"/>
    <n v="2160"/>
    <x v="60"/>
    <n v="24.3"/>
    <n v="1822.5"/>
    <x v="60"/>
    <n v="0.15625"/>
    <x v="1"/>
    <s v="Accessories"/>
  </r>
  <r>
    <x v="1"/>
    <x v="2"/>
    <x v="3"/>
    <n v="92"/>
    <n v="87"/>
    <n v="8004"/>
    <n v="0.46"/>
    <n v="4322.16"/>
    <x v="61"/>
    <n v="29.58"/>
    <n v="2721.3599999999997"/>
    <x v="61"/>
    <n v="0.37037037037037041"/>
    <x v="1"/>
    <s v="Stationery"/>
  </r>
  <r>
    <x v="49"/>
    <x v="3"/>
    <x v="7"/>
    <n v="31"/>
    <n v="31"/>
    <n v="961"/>
    <n v="0.27"/>
    <n v="701.53"/>
    <x v="62"/>
    <n v="11.16"/>
    <n v="345.96"/>
    <x v="62"/>
    <n v="0.50684931506849307"/>
    <x v="0"/>
    <s v="Accessories"/>
  </r>
  <r>
    <x v="33"/>
    <x v="2"/>
    <x v="1"/>
    <n v="55"/>
    <n v="90"/>
    <n v="4950"/>
    <n v="0.86"/>
    <n v="693.00000000000011"/>
    <x v="63"/>
    <n v="17.999999999999996"/>
    <n v="989.99999999999977"/>
    <x v="63"/>
    <n v="-0.42857142857142849"/>
    <x v="0"/>
    <s v="Sports"/>
  </r>
  <r>
    <x v="50"/>
    <x v="3"/>
    <x v="4"/>
    <n v="66"/>
    <n v="54"/>
    <n v="3564"/>
    <n v="0.7"/>
    <n v="1069.2"/>
    <x v="64"/>
    <n v="32.4"/>
    <n v="2138.4"/>
    <x v="64"/>
    <n v="-0.99999999999999978"/>
    <x v="2"/>
    <s v="Stationery"/>
  </r>
  <r>
    <x v="40"/>
    <x v="3"/>
    <x v="7"/>
    <n v="120"/>
    <n v="57"/>
    <n v="6840"/>
    <n v="0.78"/>
    <n v="1504.7999999999997"/>
    <x v="65"/>
    <n v="28.5"/>
    <n v="3420"/>
    <x v="65"/>
    <n v="-1.2727272727272729"/>
    <x v="0"/>
    <s v="Accessories"/>
  </r>
  <r>
    <x v="11"/>
    <x v="2"/>
    <x v="6"/>
    <n v="43"/>
    <n v="30"/>
    <n v="1290"/>
    <n v="0.26"/>
    <n v="954.6"/>
    <x v="66"/>
    <n v="11.1"/>
    <n v="477.3"/>
    <x v="66"/>
    <n v="0.5"/>
    <x v="0"/>
    <s v="Sports"/>
  </r>
  <r>
    <x v="51"/>
    <x v="1"/>
    <x v="0"/>
    <n v="27"/>
    <n v="88"/>
    <n v="2376"/>
    <n v="0.26"/>
    <n v="1758.24"/>
    <x v="67"/>
    <n v="50.160000000000004"/>
    <n v="1354.3200000000002"/>
    <x v="67"/>
    <n v="0.22972972972972963"/>
    <x v="2"/>
    <s v="Sports"/>
  </r>
  <r>
    <x v="37"/>
    <x v="0"/>
    <x v="3"/>
    <n v="39"/>
    <n v="32"/>
    <n v="1248"/>
    <n v="0.77"/>
    <n v="287.03999999999996"/>
    <x v="68"/>
    <n v="20.16"/>
    <n v="786.24"/>
    <x v="68"/>
    <n v="-1.7391304347826091"/>
    <x v="0"/>
    <s v="Stationery"/>
  </r>
  <r>
    <x v="35"/>
    <x v="3"/>
    <x v="4"/>
    <n v="124"/>
    <n v="51"/>
    <n v="6324"/>
    <n v="0.81"/>
    <n v="1201.5599999999997"/>
    <x v="69"/>
    <n v="13.770000000000001"/>
    <n v="1707.4800000000002"/>
    <x v="69"/>
    <n v="-0.42105263157894829"/>
    <x v="0"/>
    <s v="Stationery"/>
  </r>
  <r>
    <x v="27"/>
    <x v="3"/>
    <x v="2"/>
    <n v="34"/>
    <n v="62"/>
    <n v="2108"/>
    <n v="0.66"/>
    <n v="716.71999999999991"/>
    <x v="70"/>
    <n v="21.7"/>
    <n v="737.8"/>
    <x v="70"/>
    <n v="-2.9411764705882255E-2"/>
    <x v="2"/>
    <s v="Accessories"/>
  </r>
  <r>
    <x v="52"/>
    <x v="0"/>
    <x v="0"/>
    <n v="158"/>
    <n v="71"/>
    <n v="11218"/>
    <n v="0.73"/>
    <n v="3028.86"/>
    <x v="71"/>
    <n v="36.92"/>
    <n v="5833.3600000000006"/>
    <x v="71"/>
    <n v="-0.92592592592592593"/>
    <x v="0"/>
    <s v="Sports"/>
  </r>
  <r>
    <x v="52"/>
    <x v="3"/>
    <x v="9"/>
    <n v="131"/>
    <n v="48"/>
    <n v="6288"/>
    <n v="0.37"/>
    <n v="3961.44"/>
    <x v="72"/>
    <n v="21.119999999999997"/>
    <n v="2766.72"/>
    <x v="72"/>
    <n v="0.30158730158730163"/>
    <x v="0"/>
    <s v="Stationery"/>
  </r>
  <r>
    <x v="41"/>
    <x v="3"/>
    <x v="7"/>
    <n v="75"/>
    <n v="42"/>
    <n v="3150"/>
    <n v="0.56000000000000005"/>
    <n v="1385.9999999999998"/>
    <x v="73"/>
    <n v="5.04"/>
    <n v="378"/>
    <x v="73"/>
    <n v="0.72727272727272718"/>
    <x v="1"/>
    <s v="Accessories"/>
  </r>
  <r>
    <x v="53"/>
    <x v="0"/>
    <x v="5"/>
    <n v="79"/>
    <n v="36"/>
    <n v="2844"/>
    <n v="0.27"/>
    <n v="2076.12"/>
    <x v="74"/>
    <n v="13.68"/>
    <n v="1080.72"/>
    <x v="74"/>
    <n v="0.47945205479452058"/>
    <x v="0"/>
    <s v="Accessories"/>
  </r>
  <r>
    <x v="54"/>
    <x v="1"/>
    <x v="1"/>
    <n v="164"/>
    <n v="36"/>
    <n v="5904"/>
    <n v="0.68"/>
    <n v="1889.2799999999997"/>
    <x v="75"/>
    <n v="21.599999999999998"/>
    <n v="3542.3999999999996"/>
    <x v="75"/>
    <n v="-0.87500000000000011"/>
    <x v="2"/>
    <s v="Sports"/>
  </r>
  <r>
    <x v="29"/>
    <x v="1"/>
    <x v="8"/>
    <n v="179"/>
    <n v="43"/>
    <n v="7697"/>
    <n v="0.83"/>
    <n v="1308.4900000000002"/>
    <x v="76"/>
    <n v="4.7299999999999995"/>
    <n v="846.67"/>
    <x v="76"/>
    <n v="0.35294117647058865"/>
    <x v="1"/>
    <s v="Accessories"/>
  </r>
  <r>
    <x v="11"/>
    <x v="2"/>
    <x v="2"/>
    <n v="195"/>
    <n v="55"/>
    <n v="10725"/>
    <n v="0.44"/>
    <n v="6006.0000000000009"/>
    <x v="77"/>
    <n v="35.200000000000003"/>
    <n v="6864.0000000000009"/>
    <x v="77"/>
    <n v="-0.14285714285714299"/>
    <x v="0"/>
    <s v="Accessories"/>
  </r>
  <r>
    <x v="55"/>
    <x v="2"/>
    <x v="0"/>
    <n v="159"/>
    <n v="56"/>
    <n v="8904"/>
    <n v="0.45"/>
    <n v="4897.2000000000007"/>
    <x v="78"/>
    <n v="19.04"/>
    <n v="3027.3599999999997"/>
    <x v="78"/>
    <n v="0.38181818181818178"/>
    <x v="2"/>
    <s v="Sports"/>
  </r>
  <r>
    <x v="56"/>
    <x v="2"/>
    <x v="0"/>
    <n v="26"/>
    <n v="89"/>
    <n v="2314"/>
    <n v="0.5"/>
    <n v="1157"/>
    <x v="79"/>
    <n v="14.240000000000002"/>
    <n v="370.24000000000007"/>
    <x v="79"/>
    <n v="0.67999999999999994"/>
    <x v="1"/>
    <s v="Sports"/>
  </r>
  <r>
    <x v="57"/>
    <x v="3"/>
    <x v="6"/>
    <n v="157"/>
    <n v="80"/>
    <n v="12560"/>
    <n v="0.44"/>
    <n v="7033.6"/>
    <x v="80"/>
    <n v="36"/>
    <n v="5652"/>
    <x v="80"/>
    <n v="0.19642857142857148"/>
    <x v="2"/>
    <s v="Sports"/>
  </r>
  <r>
    <x v="58"/>
    <x v="0"/>
    <x v="7"/>
    <n v="140"/>
    <n v="89"/>
    <n v="12460"/>
    <n v="0.57999999999999996"/>
    <n v="5233.2000000000007"/>
    <x v="81"/>
    <n v="11.57"/>
    <n v="1619.8"/>
    <x v="81"/>
    <n v="0.69047619047619069"/>
    <x v="1"/>
    <s v="Accessories"/>
  </r>
  <r>
    <x v="9"/>
    <x v="2"/>
    <x v="1"/>
    <n v="123"/>
    <n v="48"/>
    <n v="5904"/>
    <n v="0.84"/>
    <n v="944.64000000000021"/>
    <x v="82"/>
    <n v="33.599999999999994"/>
    <n v="4132.7999999999993"/>
    <x v="82"/>
    <n v="-3.3749999999999982"/>
    <x v="0"/>
    <s v="Sports"/>
  </r>
  <r>
    <x v="27"/>
    <x v="1"/>
    <x v="3"/>
    <n v="187"/>
    <n v="57"/>
    <n v="10659"/>
    <n v="0.23"/>
    <n v="8207.43"/>
    <x v="83"/>
    <n v="17.100000000000001"/>
    <n v="3197.7000000000003"/>
    <x v="83"/>
    <n v="0.61038961038961026"/>
    <x v="2"/>
    <s v="Stationery"/>
  </r>
  <r>
    <x v="53"/>
    <x v="2"/>
    <x v="5"/>
    <n v="195"/>
    <n v="69"/>
    <n v="13455"/>
    <n v="0.67"/>
    <n v="4440.1499999999996"/>
    <x v="84"/>
    <n v="35.19"/>
    <n v="6862.0499999999993"/>
    <x v="84"/>
    <n v="-0.54545454545454541"/>
    <x v="0"/>
    <s v="Accessories"/>
  </r>
  <r>
    <x v="7"/>
    <x v="3"/>
    <x v="9"/>
    <n v="36"/>
    <n v="36"/>
    <n v="1296"/>
    <n v="0.74"/>
    <n v="336.96000000000004"/>
    <x v="85"/>
    <n v="21.240000000000002"/>
    <n v="764.6400000000001"/>
    <x v="85"/>
    <n v="-1.2692307692307694"/>
    <x v="0"/>
    <s v="Stationery"/>
  </r>
  <r>
    <x v="19"/>
    <x v="3"/>
    <x v="5"/>
    <n v="70"/>
    <n v="53"/>
    <n v="3710"/>
    <n v="0.64"/>
    <n v="1335.6"/>
    <x v="86"/>
    <n v="7.4200000000000008"/>
    <n v="519.40000000000009"/>
    <x v="86"/>
    <n v="0.61111111111111105"/>
    <x v="0"/>
    <s v="Accessories"/>
  </r>
  <r>
    <x v="59"/>
    <x v="0"/>
    <x v="0"/>
    <n v="124"/>
    <n v="39"/>
    <n v="4836"/>
    <n v="0.36"/>
    <n v="3095.04"/>
    <x v="87"/>
    <n v="15.600000000000001"/>
    <n v="1934.4"/>
    <x v="87"/>
    <n v="0.37499999999999994"/>
    <x v="0"/>
    <s v="Sports"/>
  </r>
  <r>
    <x v="60"/>
    <x v="3"/>
    <x v="1"/>
    <n v="186"/>
    <n v="57"/>
    <n v="10602"/>
    <n v="0.28000000000000003"/>
    <n v="7633.44"/>
    <x v="88"/>
    <n v="15.96"/>
    <n v="2968.56"/>
    <x v="88"/>
    <n v="0.61111111111111116"/>
    <x v="1"/>
    <s v="Sports"/>
  </r>
  <r>
    <x v="61"/>
    <x v="3"/>
    <x v="8"/>
    <n v="42"/>
    <n v="72"/>
    <n v="3024"/>
    <n v="0.51"/>
    <n v="1481.76"/>
    <x v="89"/>
    <n v="26.64"/>
    <n v="1118.8800000000001"/>
    <x v="89"/>
    <n v="0.24489795918367338"/>
    <x v="2"/>
    <s v="Accessories"/>
  </r>
  <r>
    <x v="38"/>
    <x v="3"/>
    <x v="0"/>
    <n v="72"/>
    <n v="58"/>
    <n v="4176"/>
    <n v="0.56999999999999995"/>
    <n v="1795.6800000000003"/>
    <x v="90"/>
    <n v="26.099999999999998"/>
    <n v="1879.1999999999998"/>
    <x v="90"/>
    <n v="-4.6511627906976473E-2"/>
    <x v="1"/>
    <s v="Sports"/>
  </r>
  <r>
    <x v="11"/>
    <x v="2"/>
    <x v="0"/>
    <n v="59"/>
    <n v="30"/>
    <n v="1770"/>
    <n v="0.83"/>
    <n v="300.90000000000009"/>
    <x v="91"/>
    <n v="9.8999999999999986"/>
    <n v="584.09999999999991"/>
    <x v="91"/>
    <n v="-0.94117647058823439"/>
    <x v="0"/>
    <s v="Sports"/>
  </r>
  <r>
    <x v="29"/>
    <x v="3"/>
    <x v="7"/>
    <n v="97"/>
    <n v="75"/>
    <n v="7275"/>
    <n v="0.22"/>
    <n v="5674.5"/>
    <x v="92"/>
    <n v="16.499999999999996"/>
    <n v="1600.4999999999995"/>
    <x v="92"/>
    <n v="0.71794871794871795"/>
    <x v="1"/>
    <s v="Accessories"/>
  </r>
  <r>
    <x v="24"/>
    <x v="0"/>
    <x v="7"/>
    <n v="184"/>
    <n v="65"/>
    <n v="11960"/>
    <n v="0.59"/>
    <n v="4903.6000000000004"/>
    <x v="93"/>
    <n v="17.55"/>
    <n v="3229.2000000000003"/>
    <x v="93"/>
    <n v="0.34146341463414626"/>
    <x v="1"/>
    <s v="Accessories"/>
  </r>
  <r>
    <x v="30"/>
    <x v="2"/>
    <x v="6"/>
    <n v="41"/>
    <n v="57"/>
    <n v="2337"/>
    <n v="0.85"/>
    <n v="350.55000000000007"/>
    <x v="94"/>
    <n v="32.49"/>
    <n v="1332.0900000000001"/>
    <x v="94"/>
    <n v="-2.8"/>
    <x v="2"/>
    <s v="Sports"/>
  </r>
  <r>
    <x v="36"/>
    <x v="3"/>
    <x v="9"/>
    <n v="135"/>
    <n v="84"/>
    <n v="11340"/>
    <n v="0.85"/>
    <n v="1701.0000000000002"/>
    <x v="95"/>
    <n v="24.360000000000003"/>
    <n v="3288.6000000000004"/>
    <x v="95"/>
    <n v="-0.93333333333333346"/>
    <x v="2"/>
    <s v="Stationery"/>
  </r>
  <r>
    <x v="17"/>
    <x v="1"/>
    <x v="8"/>
    <n v="51"/>
    <n v="70"/>
    <n v="3570"/>
    <n v="0.65"/>
    <n v="1249.5"/>
    <x v="96"/>
    <n v="8.4"/>
    <n v="428.40000000000003"/>
    <x v="96"/>
    <n v="0.65714285714285703"/>
    <x v="1"/>
    <s v="Accessories"/>
  </r>
  <r>
    <x v="62"/>
    <x v="1"/>
    <x v="8"/>
    <n v="61"/>
    <n v="90"/>
    <n v="5490"/>
    <n v="0.3"/>
    <n v="3842.9999999999995"/>
    <x v="97"/>
    <n v="23.400000000000002"/>
    <n v="1427.4"/>
    <x v="97"/>
    <n v="0.62857142857142867"/>
    <x v="1"/>
    <s v="Accessories"/>
  </r>
  <r>
    <x v="63"/>
    <x v="2"/>
    <x v="1"/>
    <n v="79"/>
    <n v="86"/>
    <n v="6794"/>
    <n v="0.32"/>
    <n v="4619.9199999999992"/>
    <x v="98"/>
    <n v="34.4"/>
    <n v="2717.6"/>
    <x v="98"/>
    <n v="0.41176470588235303"/>
    <x v="2"/>
    <s v="Sports"/>
  </r>
  <r>
    <x v="64"/>
    <x v="3"/>
    <x v="1"/>
    <n v="192"/>
    <n v="61"/>
    <n v="11712"/>
    <n v="0.63"/>
    <n v="4333.4399999999996"/>
    <x v="99"/>
    <n v="18.300000000000004"/>
    <n v="3513.6000000000008"/>
    <x v="99"/>
    <n v="0.18918918918918903"/>
    <x v="2"/>
    <s v="Sports"/>
  </r>
  <r>
    <x v="40"/>
    <x v="1"/>
    <x v="1"/>
    <n v="155"/>
    <n v="66"/>
    <n v="10230"/>
    <n v="0.84"/>
    <n v="1636.8000000000004"/>
    <x v="100"/>
    <n v="31.68"/>
    <n v="4910.3999999999996"/>
    <x v="100"/>
    <n v="-1.9999999999999987"/>
    <x v="0"/>
    <s v="Sports"/>
  </r>
  <r>
    <x v="25"/>
    <x v="0"/>
    <x v="5"/>
    <n v="124"/>
    <n v="77"/>
    <n v="9548"/>
    <n v="0.67"/>
    <n v="3150.8399999999997"/>
    <x v="101"/>
    <n v="51.589999999999996"/>
    <n v="6397.16"/>
    <x v="101"/>
    <n v="-1.0303030303030305"/>
    <x v="2"/>
    <s v="Accessories"/>
  </r>
  <r>
    <x v="65"/>
    <x v="2"/>
    <x v="2"/>
    <n v="132"/>
    <n v="87"/>
    <n v="11484"/>
    <n v="0.77"/>
    <n v="2641.3199999999997"/>
    <x v="102"/>
    <n v="47.85"/>
    <n v="6316.2"/>
    <x v="102"/>
    <n v="-1.3913043478260871"/>
    <x v="1"/>
    <s v="Accessories"/>
  </r>
  <r>
    <x v="14"/>
    <x v="1"/>
    <x v="8"/>
    <n v="89"/>
    <n v="76"/>
    <n v="6764"/>
    <n v="0.62"/>
    <n v="2570.3200000000002"/>
    <x v="103"/>
    <n v="18.239999999999998"/>
    <n v="1623.36"/>
    <x v="103"/>
    <n v="0.36842105263157893"/>
    <x v="1"/>
    <s v="Accessories"/>
  </r>
  <r>
    <x v="0"/>
    <x v="1"/>
    <x v="1"/>
    <n v="170"/>
    <n v="34"/>
    <n v="5780"/>
    <n v="0.44"/>
    <n v="3236.8"/>
    <x v="104"/>
    <n v="22.779999999999998"/>
    <n v="3872.5999999999995"/>
    <x v="104"/>
    <n v="-0.1964285714285712"/>
    <x v="0"/>
    <s v="Sports"/>
  </r>
  <r>
    <x v="66"/>
    <x v="0"/>
    <x v="1"/>
    <n v="87"/>
    <n v="54"/>
    <n v="4698"/>
    <n v="0.3"/>
    <n v="3288.6"/>
    <x v="58"/>
    <n v="19.98"/>
    <n v="1738.26"/>
    <x v="105"/>
    <n v="0.47142857142857142"/>
    <x v="0"/>
    <s v="Sports"/>
  </r>
  <r>
    <x v="67"/>
    <x v="3"/>
    <x v="2"/>
    <n v="77"/>
    <n v="67"/>
    <n v="5159"/>
    <n v="0.59"/>
    <n v="2115.19"/>
    <x v="105"/>
    <n v="40.199999999999996"/>
    <n v="3095.3999999999996"/>
    <x v="106"/>
    <n v="-0.46341463414634126"/>
    <x v="1"/>
    <s v="Accessories"/>
  </r>
  <r>
    <x v="25"/>
    <x v="0"/>
    <x v="1"/>
    <n v="31"/>
    <n v="64"/>
    <n v="1984"/>
    <n v="0.85"/>
    <n v="297.60000000000002"/>
    <x v="106"/>
    <n v="9.6000000000000014"/>
    <n v="297.60000000000002"/>
    <x v="19"/>
    <n v="0"/>
    <x v="2"/>
    <s v="Sports"/>
  </r>
  <r>
    <x v="29"/>
    <x v="1"/>
    <x v="3"/>
    <n v="48"/>
    <n v="53"/>
    <n v="2544"/>
    <n v="0.39"/>
    <n v="1551.84"/>
    <x v="107"/>
    <n v="21.73"/>
    <n v="1043.04"/>
    <x v="107"/>
    <n v="0.32786885245901637"/>
    <x v="1"/>
    <s v="Stationery"/>
  </r>
  <r>
    <x v="54"/>
    <x v="3"/>
    <x v="7"/>
    <n v="145"/>
    <n v="81"/>
    <n v="11745"/>
    <n v="0.88"/>
    <n v="1409.3999999999999"/>
    <x v="108"/>
    <n v="25.110000000000003"/>
    <n v="3640.9500000000003"/>
    <x v="108"/>
    <n v="-1.5833333333333344"/>
    <x v="2"/>
    <s v="Accessories"/>
  </r>
  <r>
    <x v="40"/>
    <x v="2"/>
    <x v="4"/>
    <n v="173"/>
    <n v="33"/>
    <n v="5709"/>
    <n v="0.33"/>
    <n v="3825.0299999999997"/>
    <x v="109"/>
    <n v="22.11"/>
    <n v="3825.0299999999997"/>
    <x v="19"/>
    <n v="0"/>
    <x v="0"/>
    <s v="Stationery"/>
  </r>
  <r>
    <x v="55"/>
    <x v="3"/>
    <x v="5"/>
    <n v="185"/>
    <n v="50"/>
    <n v="9250"/>
    <n v="0.22"/>
    <n v="7215"/>
    <x v="110"/>
    <n v="7.5000000000000009"/>
    <n v="1387.5000000000002"/>
    <x v="109"/>
    <n v="0.80769230769230771"/>
    <x v="2"/>
    <s v="Accessories"/>
  </r>
  <r>
    <x v="32"/>
    <x v="3"/>
    <x v="6"/>
    <n v="163"/>
    <n v="74"/>
    <n v="12062"/>
    <n v="0.86"/>
    <n v="1688.68"/>
    <x v="111"/>
    <n v="45.14"/>
    <n v="7357.82"/>
    <x v="110"/>
    <n v="-3.3571428571428568"/>
    <x v="1"/>
    <s v="Sports"/>
  </r>
  <r>
    <x v="17"/>
    <x v="2"/>
    <x v="6"/>
    <n v="114"/>
    <n v="85"/>
    <n v="9690"/>
    <n v="0.39"/>
    <n v="5910.9"/>
    <x v="112"/>
    <n v="33.15"/>
    <n v="3779.1"/>
    <x v="111"/>
    <n v="0.36065573770491799"/>
    <x v="1"/>
    <s v="Sports"/>
  </r>
  <r>
    <x v="14"/>
    <x v="0"/>
    <x v="1"/>
    <n v="151"/>
    <n v="33"/>
    <n v="4983"/>
    <n v="0.87"/>
    <n v="647.79000000000008"/>
    <x v="113"/>
    <n v="11.219999999999999"/>
    <n v="1694.2199999999998"/>
    <x v="112"/>
    <n v="-1.615384615384615"/>
    <x v="1"/>
    <s v="Sports"/>
  </r>
  <r>
    <x v="66"/>
    <x v="1"/>
    <x v="3"/>
    <n v="115"/>
    <n v="71"/>
    <n v="8165"/>
    <n v="0.55000000000000004"/>
    <n v="3674.2499999999995"/>
    <x v="114"/>
    <n v="19.170000000000002"/>
    <n v="2204.5500000000002"/>
    <x v="113"/>
    <n v="0.4"/>
    <x v="0"/>
    <s v="Stationery"/>
  </r>
  <r>
    <x v="66"/>
    <x v="1"/>
    <x v="0"/>
    <n v="104"/>
    <n v="40"/>
    <n v="4160"/>
    <n v="0.5"/>
    <n v="2080"/>
    <x v="115"/>
    <n v="7.200000000000002"/>
    <n v="748.80000000000018"/>
    <x v="114"/>
    <n v="0.6399999999999999"/>
    <x v="0"/>
    <s v="Sports"/>
  </r>
  <r>
    <x v="27"/>
    <x v="1"/>
    <x v="9"/>
    <n v="28"/>
    <n v="42"/>
    <n v="1176"/>
    <n v="0.47"/>
    <n v="623.28000000000009"/>
    <x v="116"/>
    <n v="28.979999999999997"/>
    <n v="811.43999999999994"/>
    <x v="115"/>
    <n v="-0.3018867924528299"/>
    <x v="2"/>
    <s v="Stationery"/>
  </r>
  <r>
    <x v="66"/>
    <x v="2"/>
    <x v="2"/>
    <n v="131"/>
    <n v="83"/>
    <n v="10873"/>
    <n v="0.43"/>
    <n v="6197.6100000000006"/>
    <x v="117"/>
    <n v="28.22"/>
    <n v="3696.8199999999997"/>
    <x v="116"/>
    <n v="0.40350877192982454"/>
    <x v="0"/>
    <s v="Accessories"/>
  </r>
  <r>
    <x v="38"/>
    <x v="0"/>
    <x v="4"/>
    <n v="33"/>
    <n v="40"/>
    <n v="1320"/>
    <n v="0.27"/>
    <n v="963.6"/>
    <x v="118"/>
    <n v="26.799999999999997"/>
    <n v="884.39999999999986"/>
    <x v="117"/>
    <n v="8.2191780821917915E-2"/>
    <x v="1"/>
    <s v="Stationery"/>
  </r>
  <r>
    <x v="44"/>
    <x v="3"/>
    <x v="1"/>
    <n v="63"/>
    <n v="78"/>
    <n v="4914"/>
    <n v="0.75"/>
    <n v="1228.5"/>
    <x v="119"/>
    <n v="12.480000000000002"/>
    <n v="786.24000000000012"/>
    <x v="118"/>
    <n v="0.36000000000000015"/>
    <x v="2"/>
    <s v="Sports"/>
  </r>
  <r>
    <x v="1"/>
    <x v="2"/>
    <x v="1"/>
    <n v="54"/>
    <n v="56"/>
    <n v="3024"/>
    <n v="0.83"/>
    <n v="514.08000000000015"/>
    <x v="120"/>
    <n v="26.88"/>
    <n v="1451.52"/>
    <x v="119"/>
    <n v="-1.8235294117647054"/>
    <x v="1"/>
    <s v="Sports"/>
  </r>
  <r>
    <x v="20"/>
    <x v="2"/>
    <x v="8"/>
    <n v="21"/>
    <n v="30"/>
    <n v="630"/>
    <n v="0.33"/>
    <n v="422.09999999999997"/>
    <x v="121"/>
    <n v="2.9999999999999991"/>
    <n v="62.999999999999979"/>
    <x v="120"/>
    <n v="0.85074626865671654"/>
    <x v="1"/>
    <s v="Accessories"/>
  </r>
  <r>
    <x v="63"/>
    <x v="0"/>
    <x v="5"/>
    <n v="192"/>
    <n v="86"/>
    <n v="16512"/>
    <n v="0.48"/>
    <n v="8586.24"/>
    <x v="122"/>
    <n v="12.900000000000002"/>
    <n v="2476.8000000000002"/>
    <x v="121"/>
    <n v="0.71153846153846168"/>
    <x v="2"/>
    <s v="Accessories"/>
  </r>
  <r>
    <x v="55"/>
    <x v="2"/>
    <x v="2"/>
    <n v="167"/>
    <n v="65"/>
    <n v="10855"/>
    <n v="0.66"/>
    <n v="3690.7"/>
    <x v="123"/>
    <n v="11.050000000000002"/>
    <n v="1845.3500000000004"/>
    <x v="122"/>
    <n v="0.49999999999999989"/>
    <x v="2"/>
    <s v="Accessories"/>
  </r>
  <r>
    <x v="68"/>
    <x v="1"/>
    <x v="8"/>
    <n v="31"/>
    <n v="43"/>
    <n v="1333"/>
    <n v="0.78"/>
    <n v="293.26"/>
    <x v="124"/>
    <n v="22.790000000000003"/>
    <n v="706.49000000000012"/>
    <x v="123"/>
    <n v="-1.4090909090909096"/>
    <x v="2"/>
    <s v="Accessories"/>
  </r>
  <r>
    <x v="5"/>
    <x v="1"/>
    <x v="2"/>
    <n v="21"/>
    <n v="34"/>
    <n v="714"/>
    <n v="0.28999999999999998"/>
    <n v="506.94"/>
    <x v="125"/>
    <n v="5.7800000000000011"/>
    <n v="121.38000000000002"/>
    <x v="124"/>
    <n v="0.76056338028169024"/>
    <x v="2"/>
    <s v="Accessories"/>
  </r>
  <r>
    <x v="17"/>
    <x v="3"/>
    <x v="6"/>
    <n v="147"/>
    <n v="42"/>
    <n v="6174"/>
    <n v="0.44"/>
    <n v="3457.4400000000005"/>
    <x v="126"/>
    <n v="10.92"/>
    <n v="1605.24"/>
    <x v="125"/>
    <n v="0.5357142857142857"/>
    <x v="1"/>
    <s v="Sports"/>
  </r>
  <r>
    <x v="68"/>
    <x v="2"/>
    <x v="5"/>
    <n v="21"/>
    <n v="52"/>
    <n v="1092"/>
    <n v="0.28999999999999998"/>
    <n v="775.31999999999994"/>
    <x v="127"/>
    <n v="14.560000000000002"/>
    <n v="305.76000000000005"/>
    <x v="126"/>
    <n v="0.60563380281690149"/>
    <x v="2"/>
    <s v="Accessories"/>
  </r>
  <r>
    <x v="69"/>
    <x v="0"/>
    <x v="4"/>
    <n v="108"/>
    <n v="43"/>
    <n v="4644"/>
    <n v="0.38"/>
    <n v="2879.28"/>
    <x v="128"/>
    <n v="21.93"/>
    <n v="2368.44"/>
    <x v="127"/>
    <n v="0.17741935483870963"/>
    <x v="1"/>
    <s v="Stationery"/>
  </r>
  <r>
    <x v="36"/>
    <x v="1"/>
    <x v="8"/>
    <n v="62"/>
    <n v="47"/>
    <n v="2914"/>
    <n v="0.69"/>
    <n v="903.34000000000015"/>
    <x v="129"/>
    <n v="27.260000000000005"/>
    <n v="1690.1200000000003"/>
    <x v="128"/>
    <n v="-0.87096774193548399"/>
    <x v="2"/>
    <s v="Accessories"/>
  </r>
  <r>
    <x v="70"/>
    <x v="0"/>
    <x v="8"/>
    <n v="50"/>
    <n v="55"/>
    <n v="2750"/>
    <n v="0.69"/>
    <n v="852.50000000000011"/>
    <x v="130"/>
    <n v="33"/>
    <n v="1650"/>
    <x v="129"/>
    <n v="-0.93548387096774155"/>
    <x v="0"/>
    <s v="Accessories"/>
  </r>
  <r>
    <x v="42"/>
    <x v="0"/>
    <x v="3"/>
    <n v="137"/>
    <n v="53"/>
    <n v="7261"/>
    <n v="0.35"/>
    <n v="4719.6500000000005"/>
    <x v="131"/>
    <n v="17.489999999999998"/>
    <n v="2396.1299999999997"/>
    <x v="130"/>
    <n v="0.49230769230769245"/>
    <x v="2"/>
    <s v="Stationery"/>
  </r>
  <r>
    <x v="71"/>
    <x v="1"/>
    <x v="2"/>
    <n v="123"/>
    <n v="88"/>
    <n v="10824"/>
    <n v="0.47"/>
    <n v="5736.72"/>
    <x v="132"/>
    <n v="60.72"/>
    <n v="7468.5599999999995"/>
    <x v="131"/>
    <n v="-0.30188679245283007"/>
    <x v="0"/>
    <s v="Accessories"/>
  </r>
  <r>
    <x v="27"/>
    <x v="2"/>
    <x v="1"/>
    <n v="74"/>
    <n v="55"/>
    <n v="4070"/>
    <n v="0.22"/>
    <n v="3174.6"/>
    <x v="133"/>
    <n v="27.5"/>
    <n v="2035"/>
    <x v="132"/>
    <n v="0.35897435897435898"/>
    <x v="2"/>
    <s v="Sports"/>
  </r>
  <r>
    <x v="25"/>
    <x v="2"/>
    <x v="9"/>
    <n v="98"/>
    <n v="48"/>
    <n v="4704"/>
    <n v="0.72"/>
    <n v="1317.1200000000001"/>
    <x v="134"/>
    <n v="30.72"/>
    <n v="3010.56"/>
    <x v="133"/>
    <n v="-1.2857142857142854"/>
    <x v="2"/>
    <s v="Stationery"/>
  </r>
  <r>
    <x v="72"/>
    <x v="0"/>
    <x v="7"/>
    <n v="159"/>
    <n v="79"/>
    <n v="12561"/>
    <n v="0.89"/>
    <n v="1381.7099999999998"/>
    <x v="135"/>
    <n v="14.220000000000004"/>
    <n v="2260.9800000000005"/>
    <x v="134"/>
    <n v="-0.6363636363636368"/>
    <x v="2"/>
    <s v="Accessories"/>
  </r>
  <r>
    <x v="25"/>
    <x v="3"/>
    <x v="3"/>
    <n v="38"/>
    <n v="88"/>
    <n v="3344"/>
    <n v="0.57999999999999996"/>
    <n v="1404.4800000000002"/>
    <x v="136"/>
    <n v="33.44"/>
    <n v="1270.7199999999998"/>
    <x v="135"/>
    <n v="9.5238095238095538E-2"/>
    <x v="2"/>
    <s v="Stationery"/>
  </r>
  <r>
    <x v="24"/>
    <x v="1"/>
    <x v="4"/>
    <n v="60"/>
    <n v="48"/>
    <n v="2880"/>
    <n v="0.86"/>
    <n v="403.20000000000005"/>
    <x v="137"/>
    <n v="17.28"/>
    <n v="1036.8000000000002"/>
    <x v="136"/>
    <n v="-1.5714285714285721"/>
    <x v="1"/>
    <s v="Stationery"/>
  </r>
  <r>
    <x v="56"/>
    <x v="3"/>
    <x v="3"/>
    <n v="51"/>
    <n v="33"/>
    <n v="1683"/>
    <n v="0.35"/>
    <n v="1093.95"/>
    <x v="138"/>
    <n v="14.190000000000001"/>
    <n v="723.69"/>
    <x v="137"/>
    <n v="0.33846153846153842"/>
    <x v="1"/>
    <s v="Stationery"/>
  </r>
  <r>
    <x v="6"/>
    <x v="3"/>
    <x v="1"/>
    <n v="188"/>
    <n v="77"/>
    <n v="14476"/>
    <n v="0.24"/>
    <n v="11001.76"/>
    <x v="139"/>
    <n v="22.330000000000002"/>
    <n v="4198.04"/>
    <x v="138"/>
    <n v="0.61842105263157887"/>
    <x v="1"/>
    <s v="Sports"/>
  </r>
  <r>
    <x v="69"/>
    <x v="2"/>
    <x v="8"/>
    <n v="125"/>
    <n v="69"/>
    <n v="8625"/>
    <n v="0.74"/>
    <n v="2242.5"/>
    <x v="140"/>
    <n v="48.3"/>
    <n v="6037.5"/>
    <x v="139"/>
    <n v="-1.6923076923076923"/>
    <x v="1"/>
    <s v="Accessories"/>
  </r>
  <r>
    <x v="1"/>
    <x v="1"/>
    <x v="8"/>
    <n v="165"/>
    <n v="54"/>
    <n v="8910"/>
    <n v="0.31"/>
    <n v="6147.9"/>
    <x v="141"/>
    <n v="35.639999999999993"/>
    <n v="5880.5999999999985"/>
    <x v="140"/>
    <n v="4.3478260869565473E-2"/>
    <x v="1"/>
    <s v="Accessories"/>
  </r>
  <r>
    <x v="45"/>
    <x v="2"/>
    <x v="6"/>
    <n v="86"/>
    <n v="49"/>
    <n v="4214"/>
    <n v="0.5"/>
    <n v="2107"/>
    <x v="142"/>
    <n v="31.85"/>
    <n v="2739.1"/>
    <x v="141"/>
    <n v="-0.29999999999999993"/>
    <x v="2"/>
    <s v="Sports"/>
  </r>
  <r>
    <x v="42"/>
    <x v="3"/>
    <x v="3"/>
    <n v="104"/>
    <n v="67"/>
    <n v="6968"/>
    <n v="0.21"/>
    <n v="5504.72"/>
    <x v="143"/>
    <n v="15.409999999999998"/>
    <n v="1602.6399999999999"/>
    <x v="142"/>
    <n v="0.708860759493671"/>
    <x v="2"/>
    <s v="Stationery"/>
  </r>
  <r>
    <x v="69"/>
    <x v="1"/>
    <x v="2"/>
    <n v="166"/>
    <n v="32"/>
    <n v="5312"/>
    <n v="0.77"/>
    <n v="1221.76"/>
    <x v="144"/>
    <n v="9.6000000000000014"/>
    <n v="1593.6000000000001"/>
    <x v="143"/>
    <n v="-0.30434782608695704"/>
    <x v="1"/>
    <s v="Accessories"/>
  </r>
  <r>
    <x v="20"/>
    <x v="0"/>
    <x v="4"/>
    <n v="64"/>
    <n v="39"/>
    <n v="2496"/>
    <n v="0.4"/>
    <n v="1497.6"/>
    <x v="145"/>
    <n v="14.82"/>
    <n v="948.48"/>
    <x v="144"/>
    <n v="0.36666666666666664"/>
    <x v="1"/>
    <s v="Stationery"/>
  </r>
  <r>
    <x v="10"/>
    <x v="0"/>
    <x v="3"/>
    <n v="163"/>
    <n v="83"/>
    <n v="13529"/>
    <n v="0.56000000000000005"/>
    <n v="5952.7599999999993"/>
    <x v="146"/>
    <n v="25.730000000000004"/>
    <n v="4193.9900000000007"/>
    <x v="145"/>
    <n v="0.29545454545454508"/>
    <x v="1"/>
    <s v="Stationery"/>
  </r>
  <r>
    <x v="40"/>
    <x v="2"/>
    <x v="4"/>
    <n v="73"/>
    <n v="33"/>
    <n v="2409"/>
    <n v="0.84"/>
    <n v="385.44000000000005"/>
    <x v="147"/>
    <n v="3.6299999999999994"/>
    <n v="264.98999999999995"/>
    <x v="146"/>
    <n v="0.31250000000000067"/>
    <x v="0"/>
    <s v="Stationery"/>
  </r>
  <r>
    <x v="61"/>
    <x v="3"/>
    <x v="1"/>
    <n v="156"/>
    <n v="73"/>
    <n v="11388"/>
    <n v="0.22"/>
    <n v="8882.64"/>
    <x v="148"/>
    <n v="22.630000000000003"/>
    <n v="3530.28"/>
    <x v="147"/>
    <n v="0.60256410256410242"/>
    <x v="2"/>
    <s v="Spor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9D313-9017-4228-AEDA-D562E4BBC28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olHeaderCaption="Region">
  <location ref="A27:F39" firstHeaderRow="1" firstDataRow="2" firstDataCol="1"/>
  <pivotFields count="19">
    <pivotField numFmtId="14" showAll="0">
      <items count="74">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 t="default"/>
      </items>
    </pivotField>
    <pivotField axis="axisCol" showAll="0">
      <items count="5">
        <item x="2"/>
        <item x="3"/>
        <item x="0"/>
        <item x="1"/>
        <item t="default"/>
      </items>
    </pivotField>
    <pivotField axis="axisRow" showAll="0">
      <items count="11">
        <item x="0"/>
        <item x="1"/>
        <item x="5"/>
        <item x="7"/>
        <item x="2"/>
        <item x="4"/>
        <item x="9"/>
        <item x="3"/>
        <item x="8"/>
        <item x="6"/>
        <item t="default"/>
      </items>
    </pivotField>
    <pivotField showAll="0"/>
    <pivotField numFmtId="164" showAll="0"/>
    <pivotField numFmtId="164" showAll="0"/>
    <pivotField numFmtId="2" showAll="0"/>
    <pivotField numFmtId="164" showAll="0"/>
    <pivotField numFmtId="2" showAll="0"/>
    <pivotField numFmtId="164" showAll="0"/>
    <pivotField numFmtId="164" showAll="0"/>
    <pivotField numFmtId="164" showAll="0"/>
    <pivotField dataField="1" numFmtId="164" showAll="0"/>
    <pivotField numFmtId="14"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Fields count="1">
    <field x="1"/>
  </colFields>
  <colItems count="5">
    <i>
      <x/>
    </i>
    <i>
      <x v="1"/>
    </i>
    <i>
      <x v="2"/>
    </i>
    <i>
      <x v="3"/>
    </i>
    <i t="grand">
      <x/>
    </i>
  </colItems>
  <dataFields count="1">
    <dataField name="Average of Profit_Margin" fld="12" subtotal="average" baseField="1" baseItem="2" numFmtId="16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19FBC-5B9C-471A-B308-B76600D9B5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amp; Dates">
  <location ref="H3:J10" firstHeaderRow="0" firstDataRow="1" firstDataCol="1"/>
  <pivotFields count="19">
    <pivotField axis="axisRow" numFmtId="14" showAll="0">
      <items count="74">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 t="default"/>
      </items>
    </pivotField>
    <pivotField showAll="0">
      <items count="5">
        <item x="2"/>
        <item x="3"/>
        <item x="0"/>
        <item x="1"/>
        <item t="default"/>
      </items>
    </pivotField>
    <pivotField showAll="0">
      <items count="11">
        <item x="0"/>
        <item x="1"/>
        <item x="5"/>
        <item x="7"/>
        <item x="2"/>
        <item x="4"/>
        <item x="9"/>
        <item x="3"/>
        <item x="8"/>
        <item x="6"/>
        <item t="default"/>
      </items>
    </pivotField>
    <pivotField showAll="0"/>
    <pivotField numFmtId="164" showAll="0"/>
    <pivotField numFmtId="164" showAll="0"/>
    <pivotField numFmtId="2" showAll="0"/>
    <pivotField dataField="1" numFmtId="2" showAll="0"/>
    <pivotField numFmtId="2" showAll="0"/>
    <pivotField numFmtId="164" showAll="0"/>
    <pivotField numFmtId="164" showAll="0"/>
    <pivotField dataField="1" numFmtId="164" showAll="0"/>
    <pivotField numFmtId="164" showAll="0"/>
    <pivotField numFmtId="14" showAll="0">
      <items count="4">
        <item sd="0" x="1"/>
        <item x="0"/>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x="2"/>
        <item x="3"/>
        <item sd="0" x="4"/>
        <item sd="0" x="5"/>
        <item sd="0" x="6"/>
        <item sd="0" x="7"/>
        <item sd="0" x="8"/>
        <item sd="0" x="9"/>
        <item sd="0" x="10"/>
        <item sd="0" x="11"/>
        <item sd="0" x="12"/>
        <item sd="0" x="1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6"/>
    <field x="18"/>
    <field x="17"/>
    <field x="0"/>
  </rowFields>
  <rowItems count="7">
    <i>
      <x v="1"/>
    </i>
    <i r="1">
      <x v="1"/>
    </i>
    <i>
      <x v="2"/>
    </i>
    <i r="1">
      <x v="2"/>
    </i>
    <i>
      <x v="3"/>
    </i>
    <i r="1">
      <x v="3"/>
    </i>
    <i t="grand">
      <x/>
    </i>
  </rowItems>
  <colFields count="1">
    <field x="-2"/>
  </colFields>
  <colItems count="2">
    <i>
      <x/>
    </i>
    <i i="1">
      <x v="1"/>
    </i>
  </colItems>
  <dataFields count="2">
    <dataField name="Sum of Net_Sales" fld="7" baseField="17" baseItem="3" numFmtId="165"/>
    <dataField name="Sum of Profit" fld="11"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79856-BD47-4DA4-BE7E-9398423DD7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F24" firstHeaderRow="0" firstDataRow="1" firstDataCol="1"/>
  <pivotFields count="19">
    <pivotField numFmtId="14" showAll="0">
      <items count="74">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11">
        <item x="0"/>
        <item x="1"/>
        <item x="5"/>
        <item x="7"/>
        <item x="2"/>
        <item x="4"/>
        <item x="9"/>
        <item x="3"/>
        <item x="8"/>
        <item x="6"/>
        <item t="default"/>
      </items>
    </pivotField>
    <pivotField showAll="0"/>
    <pivotField numFmtId="164" showAll="0"/>
    <pivotField dataField="1" numFmtId="164" showAll="0"/>
    <pivotField numFmtId="2" showAll="0"/>
    <pivotField dataField="1" numFmtId="2" showAll="0"/>
    <pivotField dataField="1" numFmtId="2" showAll="0"/>
    <pivotField numFmtId="164" showAll="0"/>
    <pivotField dataField="1" numFmtId="164" showAll="0"/>
    <pivotField dataField="1" numFmtId="164" showAll="0"/>
    <pivotField numFmtId="164" showAll="0"/>
    <pivotField numFmtId="14" showAll="0">
      <items count="4">
        <item x="1"/>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i>
    <i>
      <x v="3"/>
    </i>
    <i>
      <x v="2"/>
    </i>
    <i t="grand">
      <x/>
    </i>
  </rowItems>
  <colFields count="1">
    <field x="-2"/>
  </colFields>
  <colItems count="5">
    <i>
      <x/>
    </i>
    <i i="1">
      <x v="1"/>
    </i>
    <i i="2">
      <x v="2"/>
    </i>
    <i i="3">
      <x v="3"/>
    </i>
    <i i="4">
      <x v="4"/>
    </i>
  </colItems>
  <dataFields count="5">
    <dataField name="Sum of Gross Sales" fld="5" baseField="0" baseItem="0" numFmtId="164"/>
    <dataField name="Sum of Discount_Amount" fld="8" baseField="0" baseItem="0" numFmtId="2"/>
    <dataField name="Sum of Net_Sales" fld="7" baseField="0" baseItem="0" numFmtId="2"/>
    <dataField name="Sum of Total_Cost" fld="10" baseField="0" baseItem="0" numFmtId="164"/>
    <dataField name="Sum of Profit" fld="11" baseField="0" baseItem="0" numFmtId="164"/>
  </dataField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EE21AB-E7A7-4625-ACFA-19C66AC012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D3:E14" firstHeaderRow="1" firstDataRow="1" firstDataCol="1"/>
  <pivotFields count="19">
    <pivotField numFmtId="14" showAll="0">
      <items count="74">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 t="default"/>
      </items>
    </pivotField>
    <pivotField showAll="0">
      <items count="5">
        <item x="2"/>
        <item x="3"/>
        <item x="0"/>
        <item x="1"/>
        <item t="default"/>
      </items>
    </pivotField>
    <pivotField axis="axisRow" showAll="0" sortType="descending">
      <items count="11">
        <item x="0"/>
        <item x="1"/>
        <item x="5"/>
        <item x="7"/>
        <item x="2"/>
        <item x="4"/>
        <item x="9"/>
        <item x="3"/>
        <item x="8"/>
        <item x="6"/>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2" showAll="0"/>
    <pivotField numFmtId="2" showAll="0"/>
    <pivotField numFmtId="2" showAll="0"/>
    <pivotField numFmtId="164" showAll="0"/>
    <pivotField numFmtId="164" showAll="0"/>
    <pivotField dataField="1" numFmtId="164" showAll="0"/>
    <pivotField numFmtId="164" showAll="0"/>
    <pivotField numFmtId="14" showAll="0">
      <items count="4">
        <item x="1"/>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1"/>
    </i>
    <i>
      <x v="7"/>
    </i>
    <i>
      <x v="2"/>
    </i>
    <i>
      <x v="3"/>
    </i>
    <i>
      <x v="5"/>
    </i>
    <i>
      <x/>
    </i>
    <i>
      <x v="8"/>
    </i>
    <i>
      <x v="6"/>
    </i>
    <i>
      <x v="4"/>
    </i>
    <i>
      <x v="9"/>
    </i>
    <i t="grand">
      <x/>
    </i>
  </rowItems>
  <colItems count="1">
    <i/>
  </colItems>
  <dataFields count="1">
    <dataField name="Sum of Profit"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Dark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988780-B447-44F6-BC19-B9F72EA812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B8" firstHeaderRow="1" firstDataRow="1" firstDataCol="1"/>
  <pivotFields count="19">
    <pivotField numFmtId="14" showAll="0">
      <items count="74">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11">
        <item x="0"/>
        <item x="1"/>
        <item x="5"/>
        <item x="7"/>
        <item x="2"/>
        <item x="4"/>
        <item x="9"/>
        <item x="3"/>
        <item x="8"/>
        <item x="6"/>
        <item t="default"/>
      </items>
    </pivotField>
    <pivotField showAll="0"/>
    <pivotField numFmtId="164" showAll="0"/>
    <pivotField numFmtId="164" showAll="0"/>
    <pivotField numFmtId="2" showAll="0"/>
    <pivotField dataField="1" numFmtId="2" showAll="0"/>
    <pivotField numFmtId="2" showAll="0"/>
    <pivotField numFmtId="164" showAll="0"/>
    <pivotField numFmtId="164" showAll="0"/>
    <pivotField numFmtId="164" showAll="0"/>
    <pivotField numFmtId="164" showAll="0"/>
    <pivotField numFmtId="14" showAll="0">
      <items count="4">
        <item x="1"/>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i>
    <i>
      <x v="3"/>
    </i>
    <i>
      <x v="2"/>
    </i>
    <i t="grand">
      <x/>
    </i>
  </rowItems>
  <colItems count="1">
    <i/>
  </colItems>
  <dataFields count="1">
    <dataField name="Sum of Net_Sales" fld="7"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7B1FB-372A-4536-8552-43119B94D0C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roduct" colHeaderCaption="Region">
  <location ref="L32:P43" firstHeaderRow="1" firstDataRow="2" firstDataCol="1"/>
  <pivotFields count="19">
    <pivotField numFmtId="14" showAll="0" defaultSubtotal="0">
      <items count="73">
        <item x="58"/>
        <item x="32"/>
        <item x="17"/>
        <item x="38"/>
        <item x="13"/>
        <item x="41"/>
        <item x="4"/>
        <item x="20"/>
        <item x="56"/>
        <item x="47"/>
        <item x="2"/>
        <item x="60"/>
        <item x="69"/>
        <item x="65"/>
        <item x="12"/>
        <item x="48"/>
        <item x="67"/>
        <item x="10"/>
        <item x="1"/>
        <item x="8"/>
        <item x="24"/>
        <item x="6"/>
        <item x="14"/>
        <item x="62"/>
        <item x="29"/>
        <item x="40"/>
        <item x="18"/>
        <item x="34"/>
        <item x="71"/>
        <item x="21"/>
        <item x="39"/>
        <item x="11"/>
        <item x="19"/>
        <item x="3"/>
        <item x="35"/>
        <item x="7"/>
        <item x="49"/>
        <item x="37"/>
        <item x="70"/>
        <item x="9"/>
        <item x="26"/>
        <item x="53"/>
        <item x="33"/>
        <item x="66"/>
        <item x="0"/>
        <item x="59"/>
        <item x="52"/>
        <item x="30"/>
        <item x="72"/>
        <item x="63"/>
        <item x="36"/>
        <item x="25"/>
        <item x="43"/>
        <item x="15"/>
        <item x="64"/>
        <item x="57"/>
        <item x="68"/>
        <item x="44"/>
        <item x="51"/>
        <item x="23"/>
        <item x="50"/>
        <item x="42"/>
        <item x="46"/>
        <item x="31"/>
        <item x="54"/>
        <item x="55"/>
        <item x="5"/>
        <item x="28"/>
        <item x="61"/>
        <item x="22"/>
        <item x="45"/>
        <item x="16"/>
        <item x="27"/>
      </items>
    </pivotField>
    <pivotField axis="axisCol" showAll="0" defaultSubtotal="0">
      <items count="4">
        <item x="2"/>
        <item x="3"/>
        <item x="0"/>
        <item x="1"/>
      </items>
    </pivotField>
    <pivotField axis="axisRow" showAll="0" defaultSubtotal="0">
      <items count="10">
        <item x="0"/>
        <item x="1"/>
        <item x="5"/>
        <item x="7"/>
        <item x="2"/>
        <item x="4"/>
        <item x="9"/>
        <item x="3"/>
        <item x="8"/>
        <item x="6"/>
      </items>
    </pivotField>
    <pivotField showAll="0" defaultSubtotal="0"/>
    <pivotField numFmtId="164" showAll="0" defaultSubtotal="0"/>
    <pivotField numFmtId="164" showAll="0" defaultSubtotal="0"/>
    <pivotField numFmtId="2" showAll="0" defaultSubtotal="0"/>
    <pivotField numFmtId="164" showAll="0" defaultSubtotal="0"/>
    <pivotField numFmtId="2" showAll="0" defaultSubtotal="0"/>
    <pivotField numFmtId="164" showAll="0" defaultSubtotal="0"/>
    <pivotField numFmtId="164" showAll="0" defaultSubtotal="0"/>
    <pivotField numFmtId="164" showAll="0" defaultSubtotal="0"/>
    <pivotField dataField="1" numFmtId="164" showAll="0" defaultSubtotal="0"/>
    <pivotField numFmtId="14" showAll="0" defaultSubtotal="0">
      <items count="3">
        <item x="1"/>
        <item x="0"/>
        <item x="2"/>
      </items>
    </pivotField>
    <pivotField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x v="9"/>
    </i>
  </rowItems>
  <colFields count="1">
    <field x="1"/>
  </colFields>
  <colItems count="4">
    <i>
      <x/>
    </i>
    <i>
      <x v="1"/>
    </i>
    <i>
      <x v="2"/>
    </i>
    <i>
      <x v="3"/>
    </i>
  </colItems>
  <dataFields count="1">
    <dataField name="Average of Profit_Margin" fld="12" subtotal="average" baseField="1" baseItem="2" numFmtId="16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CB04A6-3D26-4726-9497-381AF9FA21D1}" sourceName="Region">
  <pivotTables>
    <pivotTable tabId="3" name="PivotTable6"/>
    <pivotTable tabId="5" name="PivotTable12"/>
    <pivotTable tabId="3" name="PivotTable2"/>
    <pivotTable tabId="3" name="PivotTable5"/>
    <pivotTable tabId="3" name="PivotTable7"/>
    <pivotTable tabId="3" name="PivotTable9"/>
  </pivotTables>
  <data>
    <tabular pivotCacheId="19221241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43696B3-3CB6-415C-ACDF-1B0EC6DB4ACA}" sourceName="Product">
  <pivotTables>
    <pivotTable tabId="3" name="PivotTable6"/>
    <pivotTable tabId="5" name="PivotTable12"/>
    <pivotTable tabId="3" name="PivotTable2"/>
    <pivotTable tabId="3" name="PivotTable5"/>
    <pivotTable tabId="3" name="PivotTable7"/>
    <pivotTable tabId="3" name="PivotTable9"/>
  </pivotTables>
  <data>
    <tabular pivotCacheId="192212414">
      <items count="10">
        <i x="0" s="1"/>
        <i x="1" s="1"/>
        <i x="5" s="1"/>
        <i x="7" s="1"/>
        <i x="2" s="1"/>
        <i x="4" s="1"/>
        <i x="9" s="1"/>
        <i x="3" s="1"/>
        <i x="8"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80BBAD8-6757-46D4-8137-43272289E5FA}" sourceName="Months (Date)">
  <pivotTables>
    <pivotTable tabId="3" name="PivotTable6"/>
    <pivotTable tabId="5" name="PivotTable12"/>
    <pivotTable tabId="3" name="PivotTable2"/>
    <pivotTable tabId="3" name="PivotTable5"/>
    <pivotTable tabId="3" name="PivotTable7"/>
    <pivotTable tabId="3" name="PivotTable9"/>
  </pivotTables>
  <data>
    <tabular pivotCacheId="192212414">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A7685C-5ADC-4DDE-B80F-5AF7DE517D1B}" cache="Slicer_Region" caption="Filter: Region" style="SlicerStyleDark3" rowHeight="247650"/>
  <slicer name="Product" xr10:uid="{78C8B704-E2DF-4222-B5E2-38F974FF6284}" cache="Slicer_Product" caption="Filter: Product" columnCount="3" style="SlicerStyleDark5" rowHeight="247650"/>
  <slicer name="Months (Date)" xr10:uid="{2EEDF202-1946-43FD-9EAE-4D87E153313C}" cache="Slicer_Months__Date" caption="Filter: Month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59E882-C057-47C1-933B-1821FAF59FB7}" name="Tblsales" displayName="Tblsales" ref="A1:O152" totalsRowCount="1" headerRowDxfId="23">
  <autoFilter ref="A1:O151" xr:uid="{AD59E882-C057-47C1-933B-1821FAF59FB7}"/>
  <tableColumns count="15">
    <tableColumn id="1" xr3:uid="{C8527AC3-315D-49CB-A18D-C5308475891F}" name="Date" dataDxfId="22" totalsRowDxfId="21"/>
    <tableColumn id="2" xr3:uid="{912D076A-535F-4FE7-8C49-62E2C686E572}" name="Region"/>
    <tableColumn id="3" xr3:uid="{302619A4-7B13-4FEA-B802-9345C54CAD2A}" name="Product"/>
    <tableColumn id="4" xr3:uid="{1221AB08-3313-4606-8A00-AD99E0733D04}" name="Units"/>
    <tableColumn id="5" xr3:uid="{E02E4A2B-63A0-40D7-8E3D-26BE73A32AE0}" name="Price_per_unit" dataDxfId="20" totalsRowDxfId="19"/>
    <tableColumn id="6" xr3:uid="{FEEACFD2-405C-4B7E-961A-156F480B6023}" name="Gross Sales" dataDxfId="18" totalsRowDxfId="17">
      <calculatedColumnFormula>D2*E2</calculatedColumnFormula>
    </tableColumn>
    <tableColumn id="7" xr3:uid="{B77799C2-2D33-4051-91A0-027228C61C10}" name="Discount" dataDxfId="16" totalsRowDxfId="15"/>
    <tableColumn id="12" xr3:uid="{D290ED0B-EF69-4D4D-968E-2F708E93F739}" name="Net_Sales" dataDxfId="14" totalsRowDxfId="13" dataCellStyle="Percent">
      <calculatedColumnFormula>Tblsales[[#This Row],[Gross Sales]]*(1-Tblsales[[#This Row],[Discount]])</calculatedColumnFormula>
    </tableColumn>
    <tableColumn id="13" xr3:uid="{6B138B48-C5EE-47E3-BAAA-695CC09CDBF1}" name="Discount_Amount" dataDxfId="12" totalsRowDxfId="11" dataCellStyle="Percent">
      <calculatedColumnFormula>Tblsales[[#This Row],[Gross Sales]]*Tblsales[[#This Row],[Discount]]</calculatedColumnFormula>
    </tableColumn>
    <tableColumn id="8" xr3:uid="{98DDDDF3-BC34-485E-90AE-63AAC2AB9388}" name="Cost_per_unit" dataDxfId="10" totalsRowDxfId="9"/>
    <tableColumn id="14" xr3:uid="{D6212971-0BBC-4800-AC77-DE4FBB22559C}" name="Total_Cost" dataDxfId="8" totalsRowDxfId="7">
      <calculatedColumnFormula>Tblsales[[#This Row],[Cost_per_unit]]*Tblsales[[#This Row],[Units]]</calculatedColumnFormula>
    </tableColumn>
    <tableColumn id="9" xr3:uid="{C4476167-23A9-4DB4-A129-0B04CD92DB33}" name="Profit" dataDxfId="6" totalsRowDxfId="5">
      <calculatedColumnFormula>Tblsales[[#This Row],[Gross Sales]]-Tblsales[[#This Row],[Units]]*Tblsales[[#This Row],[Cost_per_unit]]-Tblsales[[#This Row],[Gross Sales]]*Tblsales[[#This Row],[Discount]]</calculatedColumnFormula>
    </tableColumn>
    <tableColumn id="15" xr3:uid="{88367B18-D4FD-4C7A-BBFC-9BAD2A22981D}" name="Profit_Margin" dataDxfId="4" totalsRowDxfId="3">
      <calculatedColumnFormula>Tblsales[[#This Row],[Profit]]/Tblsales[[#This Row],[Net_Sales]]</calculatedColumnFormula>
    </tableColumn>
    <tableColumn id="10" xr3:uid="{03659088-460F-46C1-B51A-1FB8EF6CB4D9}" name="Month_Start" dataDxfId="2">
      <calculatedColumnFormula>EOMONTH(Tblsales[[#This Row],[Date]],-1)+1</calculatedColumnFormula>
    </tableColumn>
    <tableColumn id="11" xr3:uid="{8DC387A2-9695-4FFA-9CF9-A52EADF96153}" name="Category" dataDxfId="1">
      <calculatedColumnFormula>IF(OR(C2="Notebook",C2="Pen",C2="Marker"),"Stationery",
 IF(OR(C2="File Folder",C2="Stapler",C2="Calculator",C2="Glue Stick"),"Accessories","Sports"))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7397-CA9B-4AAD-997F-DAFC0D9E950D}">
  <dimension ref="A1:R152"/>
  <sheetViews>
    <sheetView workbookViewId="0">
      <pane ySplit="1" topLeftCell="A2" activePane="bottomLeft" state="frozen"/>
      <selection pane="bottomLeft" activeCell="I12" sqref="I12"/>
    </sheetView>
  </sheetViews>
  <sheetFormatPr defaultColWidth="12.33203125" defaultRowHeight="14.4" x14ac:dyDescent="0.3"/>
  <cols>
    <col min="3" max="3" width="15.6640625" bestFit="1" customWidth="1"/>
    <col min="5" max="6" width="12.33203125" style="3"/>
    <col min="7" max="7" width="12.33203125" style="7"/>
    <col min="8" max="9" width="12.33203125" style="3"/>
    <col min="10" max="11" width="14.44140625" style="3" customWidth="1"/>
    <col min="12" max="13" width="12" style="3" customWidth="1"/>
    <col min="14" max="14" width="13.5546875" customWidth="1"/>
  </cols>
  <sheetData>
    <row r="1" spans="1:18" s="1" customFormat="1" x14ac:dyDescent="0.3">
      <c r="A1" s="1" t="s">
        <v>0</v>
      </c>
      <c r="B1" s="1" t="s">
        <v>1</v>
      </c>
      <c r="C1" s="1" t="s">
        <v>2</v>
      </c>
      <c r="D1" s="1" t="s">
        <v>3</v>
      </c>
      <c r="E1" s="4" t="s">
        <v>27</v>
      </c>
      <c r="F1" s="4" t="s">
        <v>24</v>
      </c>
      <c r="G1" s="5" t="s">
        <v>11</v>
      </c>
      <c r="H1" s="4" t="s">
        <v>26</v>
      </c>
      <c r="I1" s="4" t="s">
        <v>25</v>
      </c>
      <c r="J1" s="4" t="s">
        <v>13</v>
      </c>
      <c r="K1" s="4" t="s">
        <v>35</v>
      </c>
      <c r="L1" s="4" t="s">
        <v>12</v>
      </c>
      <c r="M1" s="4" t="s">
        <v>40</v>
      </c>
      <c r="N1" s="1" t="s">
        <v>23</v>
      </c>
      <c r="O1" s="4" t="s">
        <v>22</v>
      </c>
    </row>
    <row r="2" spans="1:18" x14ac:dyDescent="0.3">
      <c r="A2" s="2">
        <v>44983</v>
      </c>
      <c r="B2" t="s">
        <v>8</v>
      </c>
      <c r="C2" t="s">
        <v>16</v>
      </c>
      <c r="D2">
        <v>27</v>
      </c>
      <c r="E2" s="3">
        <v>67</v>
      </c>
      <c r="F2" s="3">
        <f t="shared" ref="F2:F33" si="0">D2*E2</f>
        <v>1809</v>
      </c>
      <c r="G2" s="6">
        <v>0.63</v>
      </c>
      <c r="H2" s="11">
        <f>Tblsales[[#This Row],[Gross Sales]]*(1-Tblsales[[#This Row],[Discount]])</f>
        <v>669.33</v>
      </c>
      <c r="I2" s="11">
        <f>Tblsales[[#This Row],[Gross Sales]]*Tblsales[[#This Row],[Discount]]</f>
        <v>1139.67</v>
      </c>
      <c r="J2" s="3">
        <v>28.140000000000004</v>
      </c>
      <c r="K2" s="3">
        <f>Tblsales[[#This Row],[Cost_per_unit]]*Tblsales[[#This Row],[Units]]</f>
        <v>759.78000000000009</v>
      </c>
      <c r="L2" s="3">
        <f>Tblsales[[#This Row],[Gross Sales]]-Tblsales[[#This Row],[Units]]*Tblsales[[#This Row],[Cost_per_unit]]-Tblsales[[#This Row],[Gross Sales]]*Tblsales[[#This Row],[Discount]]</f>
        <v>-90.450000000000273</v>
      </c>
      <c r="M2" s="3">
        <f>Tblsales[[#This Row],[Profit]]/Tblsales[[#This Row],[Net_Sales]]</f>
        <v>-0.13513513513513553</v>
      </c>
      <c r="N2" s="2">
        <f>EOMONTH(Tblsales[[#This Row],[Date]],-1)+1</f>
        <v>44958</v>
      </c>
      <c r="O2" s="3" t="str">
        <f t="shared" ref="O2:O33" si="1">IF(OR(C2="Notebook",C2="Pen",C2="Marker"),"Stationery",
 IF(OR(C2="File Folder",C2="Stapler",C2="Calculator",C2="Glue Stick"),"Accessories","Sports"))</f>
        <v>Sports</v>
      </c>
    </row>
    <row r="3" spans="1:18" x14ac:dyDescent="0.3">
      <c r="A3" s="2">
        <v>44951</v>
      </c>
      <c r="B3" t="s">
        <v>7</v>
      </c>
      <c r="C3" t="s">
        <v>10</v>
      </c>
      <c r="D3">
        <v>60</v>
      </c>
      <c r="E3" s="3">
        <v>62</v>
      </c>
      <c r="F3" s="3">
        <f t="shared" si="0"/>
        <v>3720</v>
      </c>
      <c r="G3" s="6">
        <v>0.82</v>
      </c>
      <c r="H3" s="11">
        <f>Tblsales[[#This Row],[Gross Sales]]*(1-Tblsales[[#This Row],[Discount]])</f>
        <v>669.60000000000014</v>
      </c>
      <c r="I3" s="11">
        <f>Tblsales[[#This Row],[Gross Sales]]*Tblsales[[#This Row],[Discount]]</f>
        <v>3050.3999999999996</v>
      </c>
      <c r="J3" s="3">
        <v>9.9200000000000017</v>
      </c>
      <c r="K3" s="3">
        <f>Tblsales[[#This Row],[Cost_per_unit]]*Tblsales[[#This Row],[Units]]</f>
        <v>595.20000000000005</v>
      </c>
      <c r="L3" s="3">
        <f>Tblsales[[#This Row],[Gross Sales]]-Tblsales[[#This Row],[Units]]*Tblsales[[#This Row],[Cost_per_unit]]-Tblsales[[#This Row],[Gross Sales]]*Tblsales[[#This Row],[Discount]]</f>
        <v>74.400000000000546</v>
      </c>
      <c r="M3" s="3">
        <f>Tblsales[[#This Row],[Profit]]/Tblsales[[#This Row],[Net_Sales]]</f>
        <v>0.11111111111111191</v>
      </c>
      <c r="N3" s="2">
        <f>EOMONTH(Tblsales[[#This Row],[Date]],-1)+1</f>
        <v>44927</v>
      </c>
      <c r="O3" s="3" t="str">
        <f t="shared" si="1"/>
        <v>Sports</v>
      </c>
    </row>
    <row r="4" spans="1:18" x14ac:dyDescent="0.3">
      <c r="A4" s="2">
        <v>44939</v>
      </c>
      <c r="B4" t="s">
        <v>14</v>
      </c>
      <c r="C4" t="s">
        <v>17</v>
      </c>
      <c r="D4">
        <v>159</v>
      </c>
      <c r="E4" s="3">
        <v>76</v>
      </c>
      <c r="F4" s="3">
        <f t="shared" si="0"/>
        <v>12084</v>
      </c>
      <c r="G4" s="6">
        <v>0.67</v>
      </c>
      <c r="H4" s="11">
        <f>Tblsales[[#This Row],[Gross Sales]]*(1-Tblsales[[#This Row],[Discount]])</f>
        <v>3987.7199999999993</v>
      </c>
      <c r="I4" s="11">
        <f>Tblsales[[#This Row],[Gross Sales]]*Tblsales[[#This Row],[Discount]]</f>
        <v>8096.2800000000007</v>
      </c>
      <c r="J4" s="3">
        <v>19</v>
      </c>
      <c r="K4" s="3">
        <f>Tblsales[[#This Row],[Cost_per_unit]]*Tblsales[[#This Row],[Units]]</f>
        <v>3021</v>
      </c>
      <c r="L4" s="3">
        <f>Tblsales[[#This Row],[Gross Sales]]-Tblsales[[#This Row],[Units]]*Tblsales[[#This Row],[Cost_per_unit]]-Tblsales[[#This Row],[Gross Sales]]*Tblsales[[#This Row],[Discount]]</f>
        <v>966.71999999999935</v>
      </c>
      <c r="M4" s="3">
        <f>Tblsales[[#This Row],[Profit]]/Tblsales[[#This Row],[Net_Sales]]</f>
        <v>0.24242424242424229</v>
      </c>
      <c r="N4" s="2">
        <f>EOMONTH(Tblsales[[#This Row],[Date]],-1)+1</f>
        <v>44927</v>
      </c>
      <c r="O4" s="3" t="str">
        <f t="shared" si="1"/>
        <v>Accessories</v>
      </c>
    </row>
    <row r="5" spans="1:18" x14ac:dyDescent="0.3">
      <c r="A5" s="2">
        <v>44970</v>
      </c>
      <c r="B5" t="s">
        <v>9</v>
      </c>
      <c r="C5" t="s">
        <v>4</v>
      </c>
      <c r="D5">
        <v>166</v>
      </c>
      <c r="E5" s="3">
        <v>34</v>
      </c>
      <c r="F5" s="3">
        <f t="shared" si="0"/>
        <v>5644</v>
      </c>
      <c r="G5" s="6">
        <v>0.76</v>
      </c>
      <c r="H5" s="11">
        <f>Tblsales[[#This Row],[Gross Sales]]*(1-Tblsales[[#This Row],[Discount]])</f>
        <v>1354.56</v>
      </c>
      <c r="I5" s="11">
        <f>Tblsales[[#This Row],[Gross Sales]]*Tblsales[[#This Row],[Discount]]</f>
        <v>4289.4399999999996</v>
      </c>
      <c r="J5" s="3">
        <v>20.060000000000002</v>
      </c>
      <c r="K5" s="3">
        <f>Tblsales[[#This Row],[Cost_per_unit]]*Tblsales[[#This Row],[Units]]</f>
        <v>3329.9600000000005</v>
      </c>
      <c r="L5" s="3">
        <f>Tblsales[[#This Row],[Gross Sales]]-Tblsales[[#This Row],[Units]]*Tblsales[[#This Row],[Cost_per_unit]]-Tblsales[[#This Row],[Gross Sales]]*Tblsales[[#This Row],[Discount]]</f>
        <v>-1975.4</v>
      </c>
      <c r="M5" s="3">
        <f>Tblsales[[#This Row],[Profit]]/Tblsales[[#This Row],[Net_Sales]]</f>
        <v>-1.4583333333333335</v>
      </c>
      <c r="N5" s="2">
        <f>EOMONTH(Tblsales[[#This Row],[Date]],-1)+1</f>
        <v>44958</v>
      </c>
      <c r="O5" s="3" t="str">
        <f t="shared" si="1"/>
        <v>Stationery</v>
      </c>
    </row>
    <row r="6" spans="1:18" x14ac:dyDescent="0.3">
      <c r="A6" s="2">
        <v>44934</v>
      </c>
      <c r="B6" t="s">
        <v>7</v>
      </c>
      <c r="C6" t="s">
        <v>6</v>
      </c>
      <c r="D6">
        <v>117</v>
      </c>
      <c r="E6" s="3">
        <v>49</v>
      </c>
      <c r="F6" s="3">
        <f t="shared" si="0"/>
        <v>5733</v>
      </c>
      <c r="G6" s="6">
        <v>0.39</v>
      </c>
      <c r="H6" s="11">
        <f>Tblsales[[#This Row],[Gross Sales]]*(1-Tblsales[[#This Row],[Discount]])</f>
        <v>3497.13</v>
      </c>
      <c r="I6" s="11">
        <f>Tblsales[[#This Row],[Gross Sales]]*Tblsales[[#This Row],[Discount]]</f>
        <v>2235.87</v>
      </c>
      <c r="J6" s="3">
        <v>6.37</v>
      </c>
      <c r="K6" s="3">
        <f>Tblsales[[#This Row],[Cost_per_unit]]*Tblsales[[#This Row],[Units]]</f>
        <v>745.29</v>
      </c>
      <c r="L6" s="3">
        <f>Tblsales[[#This Row],[Gross Sales]]-Tblsales[[#This Row],[Units]]*Tblsales[[#This Row],[Cost_per_unit]]-Tblsales[[#This Row],[Gross Sales]]*Tblsales[[#This Row],[Discount]]</f>
        <v>2751.84</v>
      </c>
      <c r="M6" s="3">
        <f>Tblsales[[#This Row],[Profit]]/Tblsales[[#This Row],[Net_Sales]]</f>
        <v>0.78688524590163933</v>
      </c>
      <c r="N6" s="2">
        <f>EOMONTH(Tblsales[[#This Row],[Date]],-1)+1</f>
        <v>44927</v>
      </c>
      <c r="O6" s="3" t="str">
        <f t="shared" si="1"/>
        <v>Stationery</v>
      </c>
    </row>
    <row r="7" spans="1:18" x14ac:dyDescent="0.3">
      <c r="A7" s="2">
        <v>45008</v>
      </c>
      <c r="B7" t="s">
        <v>8</v>
      </c>
      <c r="C7" t="s">
        <v>18</v>
      </c>
      <c r="D7">
        <v>84</v>
      </c>
      <c r="E7" s="3">
        <v>62</v>
      </c>
      <c r="F7" s="3">
        <f t="shared" si="0"/>
        <v>5208</v>
      </c>
      <c r="G7" s="6">
        <v>0.8</v>
      </c>
      <c r="H7" s="11">
        <f>Tblsales[[#This Row],[Gross Sales]]*(1-Tblsales[[#This Row],[Discount]])</f>
        <v>1041.5999999999997</v>
      </c>
      <c r="I7" s="11">
        <f>Tblsales[[#This Row],[Gross Sales]]*Tblsales[[#This Row],[Discount]]</f>
        <v>4166.4000000000005</v>
      </c>
      <c r="J7" s="3">
        <v>27.279999999999998</v>
      </c>
      <c r="K7" s="3">
        <f>Tblsales[[#This Row],[Cost_per_unit]]*Tblsales[[#This Row],[Units]]</f>
        <v>2291.52</v>
      </c>
      <c r="L7" s="3">
        <f>Tblsales[[#This Row],[Gross Sales]]-Tblsales[[#This Row],[Units]]*Tblsales[[#This Row],[Cost_per_unit]]-Tblsales[[#This Row],[Gross Sales]]*Tblsales[[#This Row],[Discount]]</f>
        <v>-1249.9200000000005</v>
      </c>
      <c r="M7" s="3">
        <f>Tblsales[[#This Row],[Profit]]/Tblsales[[#This Row],[Net_Sales]]</f>
        <v>-1.2000000000000008</v>
      </c>
      <c r="N7" s="2">
        <f>EOMONTH(Tblsales[[#This Row],[Date]],-1)+1</f>
        <v>44986</v>
      </c>
      <c r="O7" s="3" t="str">
        <f t="shared" si="1"/>
        <v>Accessories</v>
      </c>
    </row>
    <row r="8" spans="1:18" x14ac:dyDescent="0.3">
      <c r="A8" s="2">
        <v>44954</v>
      </c>
      <c r="B8" t="s">
        <v>9</v>
      </c>
      <c r="C8" t="s">
        <v>19</v>
      </c>
      <c r="D8">
        <v>62</v>
      </c>
      <c r="E8" s="3">
        <v>34</v>
      </c>
      <c r="F8" s="3">
        <f t="shared" si="0"/>
        <v>2108</v>
      </c>
      <c r="G8" s="6">
        <v>0.84</v>
      </c>
      <c r="H8" s="11">
        <f>Tblsales[[#This Row],[Gross Sales]]*(1-Tblsales[[#This Row],[Discount]])</f>
        <v>337.28000000000009</v>
      </c>
      <c r="I8" s="11">
        <f>Tblsales[[#This Row],[Gross Sales]]*Tblsales[[#This Row],[Discount]]</f>
        <v>1770.72</v>
      </c>
      <c r="J8" s="3">
        <v>12.24</v>
      </c>
      <c r="K8" s="3">
        <f>Tblsales[[#This Row],[Cost_per_unit]]*Tblsales[[#This Row],[Units]]</f>
        <v>758.88</v>
      </c>
      <c r="L8" s="3">
        <f>Tblsales[[#This Row],[Gross Sales]]-Tblsales[[#This Row],[Units]]*Tblsales[[#This Row],[Cost_per_unit]]-Tblsales[[#This Row],[Gross Sales]]*Tblsales[[#This Row],[Discount]]</f>
        <v>-421.60000000000014</v>
      </c>
      <c r="M8" s="3">
        <f>Tblsales[[#This Row],[Profit]]/Tblsales[[#This Row],[Net_Sales]]</f>
        <v>-1.25</v>
      </c>
      <c r="N8" s="2">
        <f>EOMONTH(Tblsales[[#This Row],[Date]],-1)+1</f>
        <v>44927</v>
      </c>
      <c r="O8" s="3" t="str">
        <f t="shared" si="1"/>
        <v>Sports</v>
      </c>
    </row>
    <row r="9" spans="1:18" x14ac:dyDescent="0.3">
      <c r="A9" s="2">
        <v>44972</v>
      </c>
      <c r="B9" t="s">
        <v>7</v>
      </c>
      <c r="C9" t="s">
        <v>19</v>
      </c>
      <c r="D9">
        <v>181</v>
      </c>
      <c r="E9" s="3">
        <v>82</v>
      </c>
      <c r="F9" s="3">
        <f t="shared" si="0"/>
        <v>14842</v>
      </c>
      <c r="G9" s="6">
        <v>0.82</v>
      </c>
      <c r="H9" s="11">
        <f>Tblsales[[#This Row],[Gross Sales]]*(1-Tblsales[[#This Row],[Discount]])</f>
        <v>2671.5600000000009</v>
      </c>
      <c r="I9" s="11">
        <f>Tblsales[[#This Row],[Gross Sales]]*Tblsales[[#This Row],[Discount]]</f>
        <v>12170.439999999999</v>
      </c>
      <c r="J9" s="3">
        <v>42.64</v>
      </c>
      <c r="K9" s="3">
        <f>Tblsales[[#This Row],[Cost_per_unit]]*Tblsales[[#This Row],[Units]]</f>
        <v>7717.84</v>
      </c>
      <c r="L9" s="3">
        <f>Tblsales[[#This Row],[Gross Sales]]-Tblsales[[#This Row],[Units]]*Tblsales[[#This Row],[Cost_per_unit]]-Tblsales[[#This Row],[Gross Sales]]*Tblsales[[#This Row],[Discount]]</f>
        <v>-5046.2799999999988</v>
      </c>
      <c r="M9" s="3">
        <f>Tblsales[[#This Row],[Profit]]/Tblsales[[#This Row],[Net_Sales]]</f>
        <v>-1.888888888888888</v>
      </c>
      <c r="N9" s="2">
        <f>EOMONTH(Tblsales[[#This Row],[Date]],-1)+1</f>
        <v>44958</v>
      </c>
      <c r="O9" s="3" t="str">
        <f t="shared" si="1"/>
        <v>Sports</v>
      </c>
      <c r="R9" s="3"/>
    </row>
    <row r="10" spans="1:18" x14ac:dyDescent="0.3">
      <c r="A10" s="2">
        <v>44952</v>
      </c>
      <c r="B10" t="s">
        <v>9</v>
      </c>
      <c r="C10" t="s">
        <v>16</v>
      </c>
      <c r="D10">
        <v>186</v>
      </c>
      <c r="E10" s="3">
        <v>52</v>
      </c>
      <c r="F10" s="3">
        <f t="shared" si="0"/>
        <v>9672</v>
      </c>
      <c r="G10" s="6">
        <v>0.35</v>
      </c>
      <c r="H10" s="11">
        <f>Tblsales[[#This Row],[Gross Sales]]*(1-Tblsales[[#This Row],[Discount]])</f>
        <v>6286.8</v>
      </c>
      <c r="I10" s="11">
        <f>Tblsales[[#This Row],[Gross Sales]]*Tblsales[[#This Row],[Discount]]</f>
        <v>3385.2</v>
      </c>
      <c r="J10" s="3">
        <v>30.680000000000003</v>
      </c>
      <c r="K10" s="3">
        <f>Tblsales[[#This Row],[Cost_per_unit]]*Tblsales[[#This Row],[Units]]</f>
        <v>5706.4800000000005</v>
      </c>
      <c r="L10" s="3">
        <f>Tblsales[[#This Row],[Gross Sales]]-Tblsales[[#This Row],[Units]]*Tblsales[[#This Row],[Cost_per_unit]]-Tblsales[[#This Row],[Gross Sales]]*Tblsales[[#This Row],[Discount]]</f>
        <v>580.31999999999971</v>
      </c>
      <c r="M10" s="3">
        <f>Tblsales[[#This Row],[Profit]]/Tblsales[[#This Row],[Net_Sales]]</f>
        <v>9.2307692307692257E-2</v>
      </c>
      <c r="N10" s="2">
        <f>EOMONTH(Tblsales[[#This Row],[Date]],-1)+1</f>
        <v>44927</v>
      </c>
      <c r="O10" s="3" t="str">
        <f t="shared" si="1"/>
        <v>Sports</v>
      </c>
    </row>
    <row r="11" spans="1:18" x14ac:dyDescent="0.3">
      <c r="A11" s="2">
        <v>44977</v>
      </c>
      <c r="B11" t="s">
        <v>8</v>
      </c>
      <c r="C11" t="s">
        <v>19</v>
      </c>
      <c r="D11">
        <v>95</v>
      </c>
      <c r="E11" s="3">
        <v>83</v>
      </c>
      <c r="F11" s="3">
        <f t="shared" si="0"/>
        <v>7885</v>
      </c>
      <c r="G11" s="6">
        <v>0.78</v>
      </c>
      <c r="H11" s="11">
        <f>Tblsales[[#This Row],[Gross Sales]]*(1-Tblsales[[#This Row],[Discount]])</f>
        <v>1734.6999999999998</v>
      </c>
      <c r="I11" s="11">
        <f>Tblsales[[#This Row],[Gross Sales]]*Tblsales[[#This Row],[Discount]]</f>
        <v>6150.3</v>
      </c>
      <c r="J11" s="3">
        <v>47.31</v>
      </c>
      <c r="K11" s="3">
        <f>Tblsales[[#This Row],[Cost_per_unit]]*Tblsales[[#This Row],[Units]]</f>
        <v>4494.45</v>
      </c>
      <c r="L11" s="3">
        <f>Tblsales[[#This Row],[Gross Sales]]-Tblsales[[#This Row],[Units]]*Tblsales[[#This Row],[Cost_per_unit]]-Tblsales[[#This Row],[Gross Sales]]*Tblsales[[#This Row],[Discount]]</f>
        <v>-2759.75</v>
      </c>
      <c r="M11" s="3">
        <f>Tblsales[[#This Row],[Profit]]/Tblsales[[#This Row],[Net_Sales]]</f>
        <v>-1.5909090909090911</v>
      </c>
      <c r="N11" s="2">
        <f>EOMONTH(Tblsales[[#This Row],[Date]],-1)+1</f>
        <v>44958</v>
      </c>
      <c r="O11" s="3" t="str">
        <f t="shared" si="1"/>
        <v>Sports</v>
      </c>
    </row>
    <row r="12" spans="1:18" x14ac:dyDescent="0.3">
      <c r="A12" s="2">
        <v>44950</v>
      </c>
      <c r="B12" t="s">
        <v>7</v>
      </c>
      <c r="C12" t="s">
        <v>4</v>
      </c>
      <c r="D12">
        <v>129</v>
      </c>
      <c r="E12" s="3">
        <v>76</v>
      </c>
      <c r="F12" s="3">
        <f t="shared" si="0"/>
        <v>9804</v>
      </c>
      <c r="G12" s="6">
        <v>0.83</v>
      </c>
      <c r="H12" s="11">
        <f>Tblsales[[#This Row],[Gross Sales]]*(1-Tblsales[[#This Row],[Discount]])</f>
        <v>1666.6800000000003</v>
      </c>
      <c r="I12" s="11">
        <f>Tblsales[[#This Row],[Gross Sales]]*Tblsales[[#This Row],[Discount]]</f>
        <v>8137.32</v>
      </c>
      <c r="J12" s="3">
        <v>16.72</v>
      </c>
      <c r="K12" s="3">
        <f>Tblsales[[#This Row],[Cost_per_unit]]*Tblsales[[#This Row],[Units]]</f>
        <v>2156.8799999999997</v>
      </c>
      <c r="L12" s="3">
        <f>Tblsales[[#This Row],[Gross Sales]]-Tblsales[[#This Row],[Units]]*Tblsales[[#This Row],[Cost_per_unit]]-Tblsales[[#This Row],[Gross Sales]]*Tblsales[[#This Row],[Discount]]</f>
        <v>-490.19999999999891</v>
      </c>
      <c r="M12" s="3">
        <f>Tblsales[[#This Row],[Profit]]/Tblsales[[#This Row],[Net_Sales]]</f>
        <v>-0.29411764705882282</v>
      </c>
      <c r="N12" s="2">
        <f>EOMONTH(Tblsales[[#This Row],[Date]],-1)+1</f>
        <v>44927</v>
      </c>
      <c r="O12" s="3" t="str">
        <f t="shared" si="1"/>
        <v>Stationery</v>
      </c>
    </row>
    <row r="13" spans="1:18" x14ac:dyDescent="0.3">
      <c r="A13" s="2">
        <v>44968</v>
      </c>
      <c r="B13" t="s">
        <v>7</v>
      </c>
      <c r="C13" t="s">
        <v>16</v>
      </c>
      <c r="D13">
        <v>50</v>
      </c>
      <c r="E13" s="3">
        <v>86</v>
      </c>
      <c r="F13" s="3">
        <f t="shared" si="0"/>
        <v>4300</v>
      </c>
      <c r="G13" s="6">
        <v>0.27</v>
      </c>
      <c r="H13" s="11">
        <f>Tblsales[[#This Row],[Gross Sales]]*(1-Tblsales[[#This Row],[Discount]])</f>
        <v>3139</v>
      </c>
      <c r="I13" s="11">
        <f>Tblsales[[#This Row],[Gross Sales]]*Tblsales[[#This Row],[Discount]]</f>
        <v>1161</v>
      </c>
      <c r="J13" s="3">
        <v>8.5999999999999979</v>
      </c>
      <c r="K13" s="3">
        <f>Tblsales[[#This Row],[Cost_per_unit]]*Tblsales[[#This Row],[Units]]</f>
        <v>429.99999999999989</v>
      </c>
      <c r="L13" s="3">
        <f>Tblsales[[#This Row],[Gross Sales]]-Tblsales[[#This Row],[Units]]*Tblsales[[#This Row],[Cost_per_unit]]-Tblsales[[#This Row],[Gross Sales]]*Tblsales[[#This Row],[Discount]]</f>
        <v>2709</v>
      </c>
      <c r="M13" s="3">
        <f>Tblsales[[#This Row],[Profit]]/Tblsales[[#This Row],[Net_Sales]]</f>
        <v>0.86301369863013699</v>
      </c>
      <c r="N13" s="2">
        <f>EOMONTH(Tblsales[[#This Row],[Date]],-1)+1</f>
        <v>44958</v>
      </c>
      <c r="O13" s="3" t="str">
        <f t="shared" si="1"/>
        <v>Sports</v>
      </c>
    </row>
    <row r="14" spans="1:18" x14ac:dyDescent="0.3">
      <c r="A14" s="2">
        <v>44945</v>
      </c>
      <c r="B14" t="s">
        <v>14</v>
      </c>
      <c r="C14" t="s">
        <v>6</v>
      </c>
      <c r="D14">
        <v>43</v>
      </c>
      <c r="E14" s="3">
        <v>89</v>
      </c>
      <c r="F14" s="3">
        <f t="shared" si="0"/>
        <v>3827</v>
      </c>
      <c r="G14" s="6">
        <v>0.37</v>
      </c>
      <c r="H14" s="11">
        <f>Tblsales[[#This Row],[Gross Sales]]*(1-Tblsales[[#This Row],[Discount]])</f>
        <v>2411.0100000000002</v>
      </c>
      <c r="I14" s="11">
        <f>Tblsales[[#This Row],[Gross Sales]]*Tblsales[[#This Row],[Discount]]</f>
        <v>1415.99</v>
      </c>
      <c r="J14" s="3">
        <v>11.57</v>
      </c>
      <c r="K14" s="3">
        <f>Tblsales[[#This Row],[Cost_per_unit]]*Tblsales[[#This Row],[Units]]</f>
        <v>497.51</v>
      </c>
      <c r="L14" s="3">
        <f>Tblsales[[#This Row],[Gross Sales]]-Tblsales[[#This Row],[Units]]*Tblsales[[#This Row],[Cost_per_unit]]-Tblsales[[#This Row],[Gross Sales]]*Tblsales[[#This Row],[Discount]]</f>
        <v>1913.4999999999998</v>
      </c>
      <c r="M14" s="3">
        <f>Tblsales[[#This Row],[Profit]]/Tblsales[[#This Row],[Net_Sales]]</f>
        <v>0.7936507936507935</v>
      </c>
      <c r="N14" s="2">
        <f>EOMONTH(Tblsales[[#This Row],[Date]],-1)+1</f>
        <v>44927</v>
      </c>
      <c r="O14" s="3" t="str">
        <f t="shared" si="1"/>
        <v>Stationery</v>
      </c>
    </row>
    <row r="15" spans="1:18" x14ac:dyDescent="0.3">
      <c r="A15" s="2">
        <v>44932</v>
      </c>
      <c r="B15" t="s">
        <v>14</v>
      </c>
      <c r="C15" t="s">
        <v>20</v>
      </c>
      <c r="D15">
        <v>194</v>
      </c>
      <c r="E15" s="3">
        <v>88</v>
      </c>
      <c r="F15" s="3">
        <f t="shared" si="0"/>
        <v>17072</v>
      </c>
      <c r="G15" s="6">
        <v>0.42</v>
      </c>
      <c r="H15" s="11">
        <f>Tblsales[[#This Row],[Gross Sales]]*(1-Tblsales[[#This Row],[Discount]])</f>
        <v>9901.760000000002</v>
      </c>
      <c r="I15" s="11">
        <f>Tblsales[[#This Row],[Gross Sales]]*Tblsales[[#This Row],[Discount]]</f>
        <v>7170.24</v>
      </c>
      <c r="J15" s="3">
        <v>14.960000000000004</v>
      </c>
      <c r="K15" s="3">
        <f>Tblsales[[#This Row],[Cost_per_unit]]*Tblsales[[#This Row],[Units]]</f>
        <v>2902.2400000000007</v>
      </c>
      <c r="L15" s="3">
        <f>Tblsales[[#This Row],[Gross Sales]]-Tblsales[[#This Row],[Units]]*Tblsales[[#This Row],[Cost_per_unit]]-Tblsales[[#This Row],[Gross Sales]]*Tblsales[[#This Row],[Discount]]</f>
        <v>6999.5199999999986</v>
      </c>
      <c r="M15" s="3">
        <f>Tblsales[[#This Row],[Profit]]/Tblsales[[#This Row],[Net_Sales]]</f>
        <v>0.70689655172413768</v>
      </c>
      <c r="N15" s="2">
        <f>EOMONTH(Tblsales[[#This Row],[Date]],-1)+1</f>
        <v>44927</v>
      </c>
      <c r="O15" s="3" t="str">
        <f t="shared" si="1"/>
        <v>Accessories</v>
      </c>
    </row>
    <row r="16" spans="1:18" x14ac:dyDescent="0.3">
      <c r="A16" s="2">
        <v>44955</v>
      </c>
      <c r="B16" t="s">
        <v>14</v>
      </c>
      <c r="C16" t="s">
        <v>17</v>
      </c>
      <c r="D16">
        <v>138</v>
      </c>
      <c r="E16" s="3">
        <v>86</v>
      </c>
      <c r="F16" s="3">
        <f t="shared" si="0"/>
        <v>11868</v>
      </c>
      <c r="G16" s="6">
        <v>0.64</v>
      </c>
      <c r="H16" s="11">
        <f>Tblsales[[#This Row],[Gross Sales]]*(1-Tblsales[[#This Row],[Discount]])</f>
        <v>4272.4799999999996</v>
      </c>
      <c r="I16" s="11">
        <f>Tblsales[[#This Row],[Gross Sales]]*Tblsales[[#This Row],[Discount]]</f>
        <v>7595.52</v>
      </c>
      <c r="J16" s="3">
        <v>50.740000000000009</v>
      </c>
      <c r="K16" s="3">
        <f>Tblsales[[#This Row],[Cost_per_unit]]*Tblsales[[#This Row],[Units]]</f>
        <v>7002.1200000000008</v>
      </c>
      <c r="L16" s="3">
        <f>Tblsales[[#This Row],[Gross Sales]]-Tblsales[[#This Row],[Units]]*Tblsales[[#This Row],[Cost_per_unit]]-Tblsales[[#This Row],[Gross Sales]]*Tblsales[[#This Row],[Discount]]</f>
        <v>-2729.6400000000012</v>
      </c>
      <c r="M16" s="3">
        <f>Tblsales[[#This Row],[Profit]]/Tblsales[[#This Row],[Net_Sales]]</f>
        <v>-0.63888888888888928</v>
      </c>
      <c r="N16" s="2">
        <f>EOMONTH(Tblsales[[#This Row],[Date]],-1)+1</f>
        <v>44927</v>
      </c>
      <c r="O16" s="3" t="str">
        <f t="shared" si="1"/>
        <v>Accessories</v>
      </c>
    </row>
    <row r="17" spans="1:15" x14ac:dyDescent="0.3">
      <c r="A17" s="2">
        <v>44992</v>
      </c>
      <c r="B17" t="s">
        <v>7</v>
      </c>
      <c r="C17" t="s">
        <v>10</v>
      </c>
      <c r="D17">
        <v>28</v>
      </c>
      <c r="E17" s="3">
        <v>83</v>
      </c>
      <c r="F17" s="3">
        <f t="shared" si="0"/>
        <v>2324</v>
      </c>
      <c r="G17" s="6">
        <v>0.46</v>
      </c>
      <c r="H17" s="11">
        <f>Tblsales[[#This Row],[Gross Sales]]*(1-Tblsales[[#This Row],[Discount]])</f>
        <v>1254.96</v>
      </c>
      <c r="I17" s="11">
        <f>Tblsales[[#This Row],[Gross Sales]]*Tblsales[[#This Row],[Discount]]</f>
        <v>1069.04</v>
      </c>
      <c r="J17" s="3">
        <v>33.200000000000003</v>
      </c>
      <c r="K17" s="3">
        <f>Tblsales[[#This Row],[Cost_per_unit]]*Tblsales[[#This Row],[Units]]</f>
        <v>929.60000000000014</v>
      </c>
      <c r="L17" s="3">
        <f>Tblsales[[#This Row],[Gross Sales]]-Tblsales[[#This Row],[Units]]*Tblsales[[#This Row],[Cost_per_unit]]-Tblsales[[#This Row],[Gross Sales]]*Tblsales[[#This Row],[Discount]]</f>
        <v>325.3599999999999</v>
      </c>
      <c r="M17" s="3">
        <f>Tblsales[[#This Row],[Profit]]/Tblsales[[#This Row],[Net_Sales]]</f>
        <v>0.25925925925925919</v>
      </c>
      <c r="N17" s="2">
        <f>EOMONTH(Tblsales[[#This Row],[Date]],-1)+1</f>
        <v>44986</v>
      </c>
      <c r="O17" s="3" t="str">
        <f t="shared" si="1"/>
        <v>Sports</v>
      </c>
    </row>
    <row r="18" spans="1:15" x14ac:dyDescent="0.3">
      <c r="A18" s="2">
        <v>45014</v>
      </c>
      <c r="B18" t="s">
        <v>7</v>
      </c>
      <c r="C18" t="s">
        <v>20</v>
      </c>
      <c r="D18">
        <v>184</v>
      </c>
      <c r="E18" s="3">
        <v>73</v>
      </c>
      <c r="F18" s="3">
        <f t="shared" si="0"/>
        <v>13432</v>
      </c>
      <c r="G18" s="6">
        <v>0.48</v>
      </c>
      <c r="H18" s="11">
        <f>Tblsales[[#This Row],[Gross Sales]]*(1-Tblsales[[#This Row],[Discount]])</f>
        <v>6984.64</v>
      </c>
      <c r="I18" s="11">
        <f>Tblsales[[#This Row],[Gross Sales]]*Tblsales[[#This Row],[Discount]]</f>
        <v>6447.36</v>
      </c>
      <c r="J18" s="3">
        <v>42.34</v>
      </c>
      <c r="K18" s="3">
        <f>Tblsales[[#This Row],[Cost_per_unit]]*Tblsales[[#This Row],[Units]]</f>
        <v>7790.56</v>
      </c>
      <c r="L18" s="3">
        <f>Tblsales[[#This Row],[Gross Sales]]-Tblsales[[#This Row],[Units]]*Tblsales[[#This Row],[Cost_per_unit]]-Tblsales[[#This Row],[Gross Sales]]*Tblsales[[#This Row],[Discount]]</f>
        <v>-805.92000000000007</v>
      </c>
      <c r="M18" s="3">
        <f>Tblsales[[#This Row],[Profit]]/Tblsales[[#This Row],[Net_Sales]]</f>
        <v>-0.11538461538461539</v>
      </c>
      <c r="N18" s="2">
        <f>EOMONTH(Tblsales[[#This Row],[Date]],-1)+1</f>
        <v>44986</v>
      </c>
      <c r="O18" s="3" t="str">
        <f t="shared" si="1"/>
        <v>Accessories</v>
      </c>
    </row>
    <row r="19" spans="1:15" x14ac:dyDescent="0.3">
      <c r="A19" s="2">
        <v>44930</v>
      </c>
      <c r="B19" t="s">
        <v>7</v>
      </c>
      <c r="C19" t="s">
        <v>18</v>
      </c>
      <c r="D19">
        <v>82</v>
      </c>
      <c r="E19" s="3">
        <v>35</v>
      </c>
      <c r="F19" s="3">
        <f t="shared" si="0"/>
        <v>2870</v>
      </c>
      <c r="G19" s="6">
        <v>0.52</v>
      </c>
      <c r="H19" s="11">
        <f>Tblsales[[#This Row],[Gross Sales]]*(1-Tblsales[[#This Row],[Discount]])</f>
        <v>1377.6</v>
      </c>
      <c r="I19" s="11">
        <f>Tblsales[[#This Row],[Gross Sales]]*Tblsales[[#This Row],[Discount]]</f>
        <v>1492.4</v>
      </c>
      <c r="J19" s="3">
        <v>11.899999999999999</v>
      </c>
      <c r="K19" s="3">
        <f>Tblsales[[#This Row],[Cost_per_unit]]*Tblsales[[#This Row],[Units]]</f>
        <v>975.79999999999984</v>
      </c>
      <c r="L19" s="3">
        <f>Tblsales[[#This Row],[Gross Sales]]-Tblsales[[#This Row],[Units]]*Tblsales[[#This Row],[Cost_per_unit]]-Tblsales[[#This Row],[Gross Sales]]*Tblsales[[#This Row],[Discount]]</f>
        <v>401.80000000000018</v>
      </c>
      <c r="M19" s="3">
        <f>Tblsales[[#This Row],[Profit]]/Tblsales[[#This Row],[Net_Sales]]</f>
        <v>0.2916666666666668</v>
      </c>
      <c r="N19" s="2">
        <f>EOMONTH(Tblsales[[#This Row],[Date]],-1)+1</f>
        <v>44927</v>
      </c>
      <c r="O19" s="3" t="str">
        <f t="shared" si="1"/>
        <v>Accessories</v>
      </c>
    </row>
    <row r="20" spans="1:15" x14ac:dyDescent="0.3">
      <c r="A20" s="2">
        <v>44959</v>
      </c>
      <c r="B20" t="s">
        <v>8</v>
      </c>
      <c r="C20" t="s">
        <v>10</v>
      </c>
      <c r="D20">
        <v>188</v>
      </c>
      <c r="E20" s="3">
        <v>47</v>
      </c>
      <c r="F20" s="3">
        <f t="shared" si="0"/>
        <v>8836</v>
      </c>
      <c r="G20" s="6">
        <v>0.22</v>
      </c>
      <c r="H20" s="11">
        <f>Tblsales[[#This Row],[Gross Sales]]*(1-Tblsales[[#This Row],[Discount]])</f>
        <v>6892.08</v>
      </c>
      <c r="I20" s="11">
        <f>Tblsales[[#This Row],[Gross Sales]]*Tblsales[[#This Row],[Discount]]</f>
        <v>1943.92</v>
      </c>
      <c r="J20" s="3">
        <v>20.21</v>
      </c>
      <c r="K20" s="3">
        <f>Tblsales[[#This Row],[Cost_per_unit]]*Tblsales[[#This Row],[Units]]</f>
        <v>3799.48</v>
      </c>
      <c r="L20" s="3">
        <f>Tblsales[[#This Row],[Gross Sales]]-Tblsales[[#This Row],[Units]]*Tblsales[[#This Row],[Cost_per_unit]]-Tblsales[[#This Row],[Gross Sales]]*Tblsales[[#This Row],[Discount]]</f>
        <v>3092.6000000000004</v>
      </c>
      <c r="M20" s="3">
        <f>Tblsales[[#This Row],[Profit]]/Tblsales[[#This Row],[Net_Sales]]</f>
        <v>0.44871794871794879</v>
      </c>
      <c r="N20" s="2">
        <f>EOMONTH(Tblsales[[#This Row],[Date]],-1)+1</f>
        <v>44958</v>
      </c>
      <c r="O20" s="3" t="str">
        <f t="shared" si="1"/>
        <v>Sports</v>
      </c>
    </row>
    <row r="21" spans="1:15" x14ac:dyDescent="0.3">
      <c r="A21" s="2">
        <v>44969</v>
      </c>
      <c r="B21" t="s">
        <v>14</v>
      </c>
      <c r="C21" t="s">
        <v>20</v>
      </c>
      <c r="D21">
        <v>160</v>
      </c>
      <c r="E21" s="3">
        <v>75</v>
      </c>
      <c r="F21" s="3">
        <f t="shared" si="0"/>
        <v>12000</v>
      </c>
      <c r="G21" s="6">
        <v>0.61</v>
      </c>
      <c r="H21" s="11">
        <f>Tblsales[[#This Row],[Gross Sales]]*(1-Tblsales[[#This Row],[Discount]])</f>
        <v>4680</v>
      </c>
      <c r="I21" s="11">
        <f>Tblsales[[#This Row],[Gross Sales]]*Tblsales[[#This Row],[Discount]]</f>
        <v>7320</v>
      </c>
      <c r="J21" s="3">
        <v>29.25</v>
      </c>
      <c r="K21" s="3">
        <f>Tblsales[[#This Row],[Cost_per_unit]]*Tblsales[[#This Row],[Units]]</f>
        <v>4680</v>
      </c>
      <c r="L21" s="3">
        <f>Tblsales[[#This Row],[Gross Sales]]-Tblsales[[#This Row],[Units]]*Tblsales[[#This Row],[Cost_per_unit]]-Tblsales[[#This Row],[Gross Sales]]*Tblsales[[#This Row],[Discount]]</f>
        <v>0</v>
      </c>
      <c r="M21" s="3">
        <f>Tblsales[[#This Row],[Profit]]/Tblsales[[#This Row],[Net_Sales]]</f>
        <v>0</v>
      </c>
      <c r="N21" s="2">
        <f>EOMONTH(Tblsales[[#This Row],[Date]],-1)+1</f>
        <v>44958</v>
      </c>
      <c r="O21" s="3" t="str">
        <f t="shared" si="1"/>
        <v>Accessories</v>
      </c>
    </row>
    <row r="22" spans="1:15" x14ac:dyDescent="0.3">
      <c r="A22" s="2">
        <v>45008</v>
      </c>
      <c r="B22" t="s">
        <v>8</v>
      </c>
      <c r="C22" t="s">
        <v>6</v>
      </c>
      <c r="D22">
        <v>157</v>
      </c>
      <c r="E22" s="3">
        <v>44</v>
      </c>
      <c r="F22" s="3">
        <f t="shared" si="0"/>
        <v>6908</v>
      </c>
      <c r="G22" s="6">
        <v>0.7</v>
      </c>
      <c r="H22" s="11">
        <f>Tblsales[[#This Row],[Gross Sales]]*(1-Tblsales[[#This Row],[Discount]])</f>
        <v>2072.4</v>
      </c>
      <c r="I22" s="11">
        <f>Tblsales[[#This Row],[Gross Sales]]*Tblsales[[#This Row],[Discount]]</f>
        <v>4835.5999999999995</v>
      </c>
      <c r="J22" s="3">
        <v>7.0400000000000009</v>
      </c>
      <c r="K22" s="3">
        <f>Tblsales[[#This Row],[Cost_per_unit]]*Tblsales[[#This Row],[Units]]</f>
        <v>1105.2800000000002</v>
      </c>
      <c r="L22" s="3">
        <f>Tblsales[[#This Row],[Gross Sales]]-Tblsales[[#This Row],[Units]]*Tblsales[[#This Row],[Cost_per_unit]]-Tblsales[[#This Row],[Gross Sales]]*Tblsales[[#This Row],[Discount]]</f>
        <v>967.11999999999989</v>
      </c>
      <c r="M22" s="3">
        <f>Tblsales[[#This Row],[Profit]]/Tblsales[[#This Row],[Net_Sales]]</f>
        <v>0.46666666666666662</v>
      </c>
      <c r="N22" s="2">
        <f>EOMONTH(Tblsales[[#This Row],[Date]],-1)+1</f>
        <v>44986</v>
      </c>
      <c r="O22" s="3" t="str">
        <f t="shared" si="1"/>
        <v>Stationery</v>
      </c>
    </row>
    <row r="23" spans="1:15" x14ac:dyDescent="0.3">
      <c r="A23" s="2">
        <v>44935</v>
      </c>
      <c r="B23" t="s">
        <v>14</v>
      </c>
      <c r="C23" t="s">
        <v>19</v>
      </c>
      <c r="D23">
        <v>72</v>
      </c>
      <c r="E23" s="3">
        <v>46</v>
      </c>
      <c r="F23" s="3">
        <f t="shared" si="0"/>
        <v>3312</v>
      </c>
      <c r="G23" s="6">
        <v>0.75</v>
      </c>
      <c r="H23" s="11">
        <f>Tblsales[[#This Row],[Gross Sales]]*(1-Tblsales[[#This Row],[Discount]])</f>
        <v>828</v>
      </c>
      <c r="I23" s="11">
        <f>Tblsales[[#This Row],[Gross Sales]]*Tblsales[[#This Row],[Discount]]</f>
        <v>2484</v>
      </c>
      <c r="J23" s="3">
        <v>10.579999999999998</v>
      </c>
      <c r="K23" s="3">
        <f>Tblsales[[#This Row],[Cost_per_unit]]*Tblsales[[#This Row],[Units]]</f>
        <v>761.75999999999988</v>
      </c>
      <c r="L23" s="3">
        <f>Tblsales[[#This Row],[Gross Sales]]-Tblsales[[#This Row],[Units]]*Tblsales[[#This Row],[Cost_per_unit]]-Tblsales[[#This Row],[Gross Sales]]*Tblsales[[#This Row],[Discount]]</f>
        <v>66.240000000000236</v>
      </c>
      <c r="M23" s="3">
        <f>Tblsales[[#This Row],[Profit]]/Tblsales[[#This Row],[Net_Sales]]</f>
        <v>8.0000000000000279E-2</v>
      </c>
      <c r="N23" s="2">
        <f>EOMONTH(Tblsales[[#This Row],[Date]],-1)+1</f>
        <v>44927</v>
      </c>
      <c r="O23" s="3" t="str">
        <f t="shared" si="1"/>
        <v>Sports</v>
      </c>
    </row>
    <row r="24" spans="1:15" x14ac:dyDescent="0.3">
      <c r="A24" s="2">
        <v>44963</v>
      </c>
      <c r="B24" t="s">
        <v>8</v>
      </c>
      <c r="C24" t="s">
        <v>4</v>
      </c>
      <c r="D24">
        <v>20</v>
      </c>
      <c r="E24" s="3">
        <v>79</v>
      </c>
      <c r="F24" s="3">
        <f t="shared" si="0"/>
        <v>1580</v>
      </c>
      <c r="G24" s="6">
        <v>0.35</v>
      </c>
      <c r="H24" s="11">
        <f>Tblsales[[#This Row],[Gross Sales]]*(1-Tblsales[[#This Row],[Discount]])</f>
        <v>1027</v>
      </c>
      <c r="I24" s="11">
        <f>Tblsales[[#This Row],[Gross Sales]]*Tblsales[[#This Row],[Discount]]</f>
        <v>553</v>
      </c>
      <c r="J24" s="3">
        <v>47.4</v>
      </c>
      <c r="K24" s="3">
        <f>Tblsales[[#This Row],[Cost_per_unit]]*Tblsales[[#This Row],[Units]]</f>
        <v>948</v>
      </c>
      <c r="L24" s="3">
        <f>Tblsales[[#This Row],[Gross Sales]]-Tblsales[[#This Row],[Units]]*Tblsales[[#This Row],[Cost_per_unit]]-Tblsales[[#This Row],[Gross Sales]]*Tblsales[[#This Row],[Discount]]</f>
        <v>79</v>
      </c>
      <c r="M24" s="3">
        <f>Tblsales[[#This Row],[Profit]]/Tblsales[[#This Row],[Net_Sales]]</f>
        <v>7.6923076923076927E-2</v>
      </c>
      <c r="N24" s="2">
        <f>EOMONTH(Tblsales[[#This Row],[Date]],-1)+1</f>
        <v>44958</v>
      </c>
      <c r="O24" s="3" t="str">
        <f t="shared" si="1"/>
        <v>Stationery</v>
      </c>
    </row>
    <row r="25" spans="1:15" x14ac:dyDescent="0.3">
      <c r="A25" s="2">
        <v>45011</v>
      </c>
      <c r="B25" t="s">
        <v>14</v>
      </c>
      <c r="C25" t="s">
        <v>20</v>
      </c>
      <c r="D25">
        <v>156</v>
      </c>
      <c r="E25" s="3">
        <v>73</v>
      </c>
      <c r="F25" s="3">
        <f t="shared" si="0"/>
        <v>11388</v>
      </c>
      <c r="G25" s="6">
        <v>0.27</v>
      </c>
      <c r="H25" s="11">
        <f>Tblsales[[#This Row],[Gross Sales]]*(1-Tblsales[[#This Row],[Discount]])</f>
        <v>8313.24</v>
      </c>
      <c r="I25" s="11">
        <f>Tblsales[[#This Row],[Gross Sales]]*Tblsales[[#This Row],[Discount]]</f>
        <v>3074.76</v>
      </c>
      <c r="J25" s="3">
        <v>43.070000000000007</v>
      </c>
      <c r="K25" s="3">
        <f>Tblsales[[#This Row],[Cost_per_unit]]*Tblsales[[#This Row],[Units]]</f>
        <v>6718.920000000001</v>
      </c>
      <c r="L25" s="3">
        <f>Tblsales[[#This Row],[Gross Sales]]-Tblsales[[#This Row],[Units]]*Tblsales[[#This Row],[Cost_per_unit]]-Tblsales[[#This Row],[Gross Sales]]*Tblsales[[#This Row],[Discount]]</f>
        <v>1594.3199999999988</v>
      </c>
      <c r="M25" s="3">
        <f>Tblsales[[#This Row],[Profit]]/Tblsales[[#This Row],[Net_Sales]]</f>
        <v>0.19178082191780807</v>
      </c>
      <c r="N25" s="2">
        <f>EOMONTH(Tblsales[[#This Row],[Date]],-1)+1</f>
        <v>44986</v>
      </c>
      <c r="O25" s="3" t="str">
        <f t="shared" si="1"/>
        <v>Accessories</v>
      </c>
    </row>
    <row r="26" spans="1:15" x14ac:dyDescent="0.3">
      <c r="A26" s="2">
        <v>44968</v>
      </c>
      <c r="B26" t="s">
        <v>7</v>
      </c>
      <c r="C26" t="s">
        <v>18</v>
      </c>
      <c r="D26">
        <v>38</v>
      </c>
      <c r="E26" s="3">
        <v>58</v>
      </c>
      <c r="F26" s="3">
        <f t="shared" si="0"/>
        <v>2204</v>
      </c>
      <c r="G26" s="6">
        <v>0.6</v>
      </c>
      <c r="H26" s="11">
        <f>Tblsales[[#This Row],[Gross Sales]]*(1-Tblsales[[#This Row],[Discount]])</f>
        <v>881.6</v>
      </c>
      <c r="I26" s="11">
        <f>Tblsales[[#This Row],[Gross Sales]]*Tblsales[[#This Row],[Discount]]</f>
        <v>1322.3999999999999</v>
      </c>
      <c r="J26" s="3">
        <v>24.360000000000003</v>
      </c>
      <c r="K26" s="3">
        <f>Tblsales[[#This Row],[Cost_per_unit]]*Tblsales[[#This Row],[Units]]</f>
        <v>925.68000000000006</v>
      </c>
      <c r="L26" s="3">
        <f>Tblsales[[#This Row],[Gross Sales]]-Tblsales[[#This Row],[Units]]*Tblsales[[#This Row],[Cost_per_unit]]-Tblsales[[#This Row],[Gross Sales]]*Tblsales[[#This Row],[Discount]]</f>
        <v>-44.079999999999927</v>
      </c>
      <c r="M26" s="3">
        <f>Tblsales[[#This Row],[Profit]]/Tblsales[[#This Row],[Net_Sales]]</f>
        <v>-4.999999999999992E-2</v>
      </c>
      <c r="N26" s="2">
        <f>EOMONTH(Tblsales[[#This Row],[Date]],-1)+1</f>
        <v>44958</v>
      </c>
      <c r="O26" s="3" t="str">
        <f t="shared" si="1"/>
        <v>Accessories</v>
      </c>
    </row>
    <row r="27" spans="1:15" x14ac:dyDescent="0.3">
      <c r="A27" s="2">
        <v>44963</v>
      </c>
      <c r="B27" t="s">
        <v>8</v>
      </c>
      <c r="C27" t="s">
        <v>17</v>
      </c>
      <c r="D27">
        <v>60</v>
      </c>
      <c r="E27" s="3">
        <v>40</v>
      </c>
      <c r="F27" s="3">
        <f t="shared" si="0"/>
        <v>2400</v>
      </c>
      <c r="G27" s="6">
        <v>0.85</v>
      </c>
      <c r="H27" s="11">
        <f>Tblsales[[#This Row],[Gross Sales]]*(1-Tblsales[[#This Row],[Discount]])</f>
        <v>360.00000000000006</v>
      </c>
      <c r="I27" s="11">
        <f>Tblsales[[#This Row],[Gross Sales]]*Tblsales[[#This Row],[Discount]]</f>
        <v>2040</v>
      </c>
      <c r="J27" s="3">
        <v>9.6</v>
      </c>
      <c r="K27" s="3">
        <f>Tblsales[[#This Row],[Cost_per_unit]]*Tblsales[[#This Row],[Units]]</f>
        <v>576</v>
      </c>
      <c r="L27" s="3">
        <f>Tblsales[[#This Row],[Gross Sales]]-Tblsales[[#This Row],[Units]]*Tblsales[[#This Row],[Cost_per_unit]]-Tblsales[[#This Row],[Gross Sales]]*Tblsales[[#This Row],[Discount]]</f>
        <v>-216</v>
      </c>
      <c r="M27" s="3">
        <f>Tblsales[[#This Row],[Profit]]/Tblsales[[#This Row],[Net_Sales]]</f>
        <v>-0.59999999999999987</v>
      </c>
      <c r="N27" s="2">
        <f>EOMONTH(Tblsales[[#This Row],[Date]],-1)+1</f>
        <v>44958</v>
      </c>
      <c r="O27" s="3" t="str">
        <f t="shared" si="1"/>
        <v>Accessories</v>
      </c>
    </row>
    <row r="28" spans="1:15" x14ac:dyDescent="0.3">
      <c r="A28" s="2">
        <v>45000</v>
      </c>
      <c r="B28" t="s">
        <v>8</v>
      </c>
      <c r="C28" t="s">
        <v>10</v>
      </c>
      <c r="D28">
        <v>58</v>
      </c>
      <c r="E28" s="3">
        <v>70</v>
      </c>
      <c r="F28" s="3">
        <f t="shared" si="0"/>
        <v>4060</v>
      </c>
      <c r="G28" s="6">
        <v>0.63</v>
      </c>
      <c r="H28" s="11">
        <f>Tblsales[[#This Row],[Gross Sales]]*(1-Tblsales[[#This Row],[Discount]])</f>
        <v>1502.2</v>
      </c>
      <c r="I28" s="11">
        <f>Tblsales[[#This Row],[Gross Sales]]*Tblsales[[#This Row],[Discount]]</f>
        <v>2557.8000000000002</v>
      </c>
      <c r="J28" s="3">
        <v>27.3</v>
      </c>
      <c r="K28" s="3">
        <f>Tblsales[[#This Row],[Cost_per_unit]]*Tblsales[[#This Row],[Units]]</f>
        <v>1583.4</v>
      </c>
      <c r="L28" s="3">
        <f>Tblsales[[#This Row],[Gross Sales]]-Tblsales[[#This Row],[Units]]*Tblsales[[#This Row],[Cost_per_unit]]-Tblsales[[#This Row],[Gross Sales]]*Tblsales[[#This Row],[Discount]]</f>
        <v>-81.200000000000273</v>
      </c>
      <c r="M28" s="3">
        <f>Tblsales[[#This Row],[Profit]]/Tblsales[[#This Row],[Net_Sales]]</f>
        <v>-5.4054054054054237E-2</v>
      </c>
      <c r="N28" s="2">
        <f>EOMONTH(Tblsales[[#This Row],[Date]],-1)+1</f>
        <v>44986</v>
      </c>
      <c r="O28" s="3" t="str">
        <f t="shared" si="1"/>
        <v>Sports</v>
      </c>
    </row>
    <row r="29" spans="1:15" x14ac:dyDescent="0.3">
      <c r="A29" s="2">
        <v>44992</v>
      </c>
      <c r="B29" t="s">
        <v>8</v>
      </c>
      <c r="C29" t="s">
        <v>20</v>
      </c>
      <c r="D29">
        <v>120</v>
      </c>
      <c r="E29" s="3">
        <v>44</v>
      </c>
      <c r="F29" s="3">
        <f t="shared" si="0"/>
        <v>5280</v>
      </c>
      <c r="G29" s="6">
        <v>0.48</v>
      </c>
      <c r="H29" s="11">
        <f>Tblsales[[#This Row],[Gross Sales]]*(1-Tblsales[[#This Row],[Discount]])</f>
        <v>2745.6</v>
      </c>
      <c r="I29" s="11">
        <f>Tblsales[[#This Row],[Gross Sales]]*Tblsales[[#This Row],[Discount]]</f>
        <v>2534.4</v>
      </c>
      <c r="J29" s="3">
        <v>30.36</v>
      </c>
      <c r="K29" s="3">
        <f>Tblsales[[#This Row],[Cost_per_unit]]*Tblsales[[#This Row],[Units]]</f>
        <v>3643.2</v>
      </c>
      <c r="L29" s="3">
        <f>Tblsales[[#This Row],[Gross Sales]]-Tblsales[[#This Row],[Units]]*Tblsales[[#This Row],[Cost_per_unit]]-Tblsales[[#This Row],[Gross Sales]]*Tblsales[[#This Row],[Discount]]</f>
        <v>-897.59999999999991</v>
      </c>
      <c r="M29" s="3">
        <f>Tblsales[[#This Row],[Profit]]/Tblsales[[#This Row],[Net_Sales]]</f>
        <v>-0.32692307692307693</v>
      </c>
      <c r="N29" s="2">
        <f>EOMONTH(Tblsales[[#This Row],[Date]],-1)+1</f>
        <v>44986</v>
      </c>
      <c r="O29" s="3" t="str">
        <f t="shared" si="1"/>
        <v>Accessories</v>
      </c>
    </row>
    <row r="30" spans="1:15" x14ac:dyDescent="0.3">
      <c r="A30" s="2">
        <v>45008</v>
      </c>
      <c r="B30" t="s">
        <v>8</v>
      </c>
      <c r="C30" t="s">
        <v>21</v>
      </c>
      <c r="D30">
        <v>163</v>
      </c>
      <c r="E30" s="3">
        <v>34</v>
      </c>
      <c r="F30" s="3">
        <f t="shared" si="0"/>
        <v>5542</v>
      </c>
      <c r="G30" s="6">
        <v>0.6</v>
      </c>
      <c r="H30" s="11">
        <f>Tblsales[[#This Row],[Gross Sales]]*(1-Tblsales[[#This Row],[Discount]])</f>
        <v>2216.8000000000002</v>
      </c>
      <c r="I30" s="11">
        <f>Tblsales[[#This Row],[Gross Sales]]*Tblsales[[#This Row],[Discount]]</f>
        <v>3325.2</v>
      </c>
      <c r="J30" s="3">
        <v>7.8199999999999994</v>
      </c>
      <c r="K30" s="3">
        <f>Tblsales[[#This Row],[Cost_per_unit]]*Tblsales[[#This Row],[Units]]</f>
        <v>1274.6599999999999</v>
      </c>
      <c r="L30" s="3">
        <f>Tblsales[[#This Row],[Gross Sales]]-Tblsales[[#This Row],[Units]]*Tblsales[[#This Row],[Cost_per_unit]]-Tblsales[[#This Row],[Gross Sales]]*Tblsales[[#This Row],[Discount]]</f>
        <v>942.14000000000033</v>
      </c>
      <c r="M30" s="3">
        <f>Tblsales[[#This Row],[Profit]]/Tblsales[[#This Row],[Net_Sales]]</f>
        <v>0.4250000000000001</v>
      </c>
      <c r="N30" s="2">
        <f>EOMONTH(Tblsales[[#This Row],[Date]],-1)+1</f>
        <v>44986</v>
      </c>
      <c r="O30" s="3" t="str">
        <f t="shared" si="1"/>
        <v>Accessories</v>
      </c>
    </row>
    <row r="31" spans="1:15" x14ac:dyDescent="0.3">
      <c r="A31" s="2">
        <v>44953</v>
      </c>
      <c r="B31" t="s">
        <v>9</v>
      </c>
      <c r="C31" t="s">
        <v>4</v>
      </c>
      <c r="D31">
        <v>128</v>
      </c>
      <c r="E31" s="3">
        <v>76</v>
      </c>
      <c r="F31" s="3">
        <f t="shared" si="0"/>
        <v>9728</v>
      </c>
      <c r="G31" s="6">
        <v>0.53</v>
      </c>
      <c r="H31" s="11">
        <f>Tblsales[[#This Row],[Gross Sales]]*(1-Tblsales[[#This Row],[Discount]])</f>
        <v>4572.16</v>
      </c>
      <c r="I31" s="11">
        <f>Tblsales[[#This Row],[Gross Sales]]*Tblsales[[#This Row],[Discount]]</f>
        <v>5155.84</v>
      </c>
      <c r="J31" s="3">
        <v>46.36</v>
      </c>
      <c r="K31" s="3">
        <f>Tblsales[[#This Row],[Cost_per_unit]]*Tblsales[[#This Row],[Units]]</f>
        <v>5934.08</v>
      </c>
      <c r="L31" s="3">
        <f>Tblsales[[#This Row],[Gross Sales]]-Tblsales[[#This Row],[Units]]*Tblsales[[#This Row],[Cost_per_unit]]-Tblsales[[#This Row],[Gross Sales]]*Tblsales[[#This Row],[Discount]]</f>
        <v>-1361.92</v>
      </c>
      <c r="M31" s="3">
        <f>Tblsales[[#This Row],[Profit]]/Tblsales[[#This Row],[Net_Sales]]</f>
        <v>-0.29787234042553196</v>
      </c>
      <c r="N31" s="2">
        <f>EOMONTH(Tblsales[[#This Row],[Date]],-1)+1</f>
        <v>44927</v>
      </c>
      <c r="O31" s="3" t="str">
        <f t="shared" si="1"/>
        <v>Stationery</v>
      </c>
    </row>
    <row r="32" spans="1:15" x14ac:dyDescent="0.3">
      <c r="A32" s="2">
        <v>44990</v>
      </c>
      <c r="B32" t="s">
        <v>9</v>
      </c>
      <c r="C32" t="s">
        <v>10</v>
      </c>
      <c r="D32">
        <v>168</v>
      </c>
      <c r="E32" s="3">
        <v>89</v>
      </c>
      <c r="F32" s="3">
        <f t="shared" si="0"/>
        <v>14952</v>
      </c>
      <c r="G32" s="6">
        <v>0.9</v>
      </c>
      <c r="H32" s="11">
        <f>Tblsales[[#This Row],[Gross Sales]]*(1-Tblsales[[#This Row],[Discount]])</f>
        <v>1495.1999999999996</v>
      </c>
      <c r="I32" s="11">
        <f>Tblsales[[#This Row],[Gross Sales]]*Tblsales[[#This Row],[Discount]]</f>
        <v>13456.800000000001</v>
      </c>
      <c r="J32" s="3">
        <v>22.25</v>
      </c>
      <c r="K32" s="3">
        <f>Tblsales[[#This Row],[Cost_per_unit]]*Tblsales[[#This Row],[Units]]</f>
        <v>3738</v>
      </c>
      <c r="L32" s="3">
        <f>Tblsales[[#This Row],[Gross Sales]]-Tblsales[[#This Row],[Units]]*Tblsales[[#This Row],[Cost_per_unit]]-Tblsales[[#This Row],[Gross Sales]]*Tblsales[[#This Row],[Discount]]</f>
        <v>-2242.8000000000011</v>
      </c>
      <c r="M32" s="3">
        <f>Tblsales[[#This Row],[Profit]]/Tblsales[[#This Row],[Net_Sales]]</f>
        <v>-1.5000000000000011</v>
      </c>
      <c r="N32" s="2">
        <f>EOMONTH(Tblsales[[#This Row],[Date]],-1)+1</f>
        <v>44986</v>
      </c>
      <c r="O32" s="3" t="str">
        <f t="shared" si="1"/>
        <v>Sports</v>
      </c>
    </row>
    <row r="33" spans="1:15" x14ac:dyDescent="0.3">
      <c r="A33" s="2">
        <v>44978</v>
      </c>
      <c r="B33" t="s">
        <v>7</v>
      </c>
      <c r="C33" t="s">
        <v>16</v>
      </c>
      <c r="D33">
        <v>21</v>
      </c>
      <c r="E33" s="3">
        <v>86</v>
      </c>
      <c r="F33" s="3">
        <f t="shared" si="0"/>
        <v>1806</v>
      </c>
      <c r="G33" s="6">
        <v>0.79</v>
      </c>
      <c r="H33" s="11">
        <f>Tblsales[[#This Row],[Gross Sales]]*(1-Tblsales[[#This Row],[Discount]])</f>
        <v>379.25999999999993</v>
      </c>
      <c r="I33" s="11">
        <f>Tblsales[[#This Row],[Gross Sales]]*Tblsales[[#This Row],[Discount]]</f>
        <v>1426.74</v>
      </c>
      <c r="J33" s="3">
        <v>31.82</v>
      </c>
      <c r="K33" s="3">
        <f>Tblsales[[#This Row],[Cost_per_unit]]*Tblsales[[#This Row],[Units]]</f>
        <v>668.22</v>
      </c>
      <c r="L33" s="3">
        <f>Tblsales[[#This Row],[Gross Sales]]-Tblsales[[#This Row],[Units]]*Tblsales[[#This Row],[Cost_per_unit]]-Tblsales[[#This Row],[Gross Sales]]*Tblsales[[#This Row],[Discount]]</f>
        <v>-288.96000000000004</v>
      </c>
      <c r="M33" s="3">
        <f>Tblsales[[#This Row],[Profit]]/Tblsales[[#This Row],[Net_Sales]]</f>
        <v>-0.76190476190476208</v>
      </c>
      <c r="N33" s="2">
        <f>EOMONTH(Tblsales[[#This Row],[Date]],-1)+1</f>
        <v>44958</v>
      </c>
      <c r="O33" s="3" t="str">
        <f t="shared" si="1"/>
        <v>Sports</v>
      </c>
    </row>
    <row r="34" spans="1:15" x14ac:dyDescent="0.3">
      <c r="A34" s="2">
        <v>45015</v>
      </c>
      <c r="B34" t="s">
        <v>9</v>
      </c>
      <c r="C34" t="s">
        <v>18</v>
      </c>
      <c r="D34">
        <v>20</v>
      </c>
      <c r="E34" s="3">
        <v>75</v>
      </c>
      <c r="F34" s="3">
        <f t="shared" ref="F34:F51" si="2">D34*E34</f>
        <v>1500</v>
      </c>
      <c r="G34" s="6">
        <v>0.25</v>
      </c>
      <c r="H34" s="11">
        <f>Tblsales[[#This Row],[Gross Sales]]*(1-Tblsales[[#This Row],[Discount]])</f>
        <v>1125</v>
      </c>
      <c r="I34" s="11">
        <f>Tblsales[[#This Row],[Gross Sales]]*Tblsales[[#This Row],[Discount]]</f>
        <v>375</v>
      </c>
      <c r="J34" s="3">
        <v>44.250000000000007</v>
      </c>
      <c r="K34" s="3">
        <f>Tblsales[[#This Row],[Cost_per_unit]]*Tblsales[[#This Row],[Units]]</f>
        <v>885.00000000000011</v>
      </c>
      <c r="L34" s="3">
        <f>Tblsales[[#This Row],[Gross Sales]]-Tblsales[[#This Row],[Units]]*Tblsales[[#This Row],[Cost_per_unit]]-Tblsales[[#This Row],[Gross Sales]]*Tblsales[[#This Row],[Discount]]</f>
        <v>239.99999999999989</v>
      </c>
      <c r="M34" s="3">
        <f>Tblsales[[#This Row],[Profit]]/Tblsales[[#This Row],[Net_Sales]]</f>
        <v>0.21333333333333324</v>
      </c>
      <c r="N34" s="2">
        <f>EOMONTH(Tblsales[[#This Row],[Date]],-1)+1</f>
        <v>44986</v>
      </c>
      <c r="O34" s="3" t="str">
        <f t="shared" ref="O34:O65" si="3">IF(OR(C34="Notebook",C34="Pen",C34="Marker"),"Stationery",
 IF(OR(C34="File Folder",C34="Stapler",C34="Calculator",C34="Glue Stick"),"Accessories","Sports"))</f>
        <v>Accessories</v>
      </c>
    </row>
    <row r="35" spans="1:15" x14ac:dyDescent="0.3">
      <c r="A35" s="2">
        <v>45009</v>
      </c>
      <c r="B35" t="s">
        <v>7</v>
      </c>
      <c r="C35" t="s">
        <v>20</v>
      </c>
      <c r="D35">
        <v>32</v>
      </c>
      <c r="E35" s="3">
        <v>48</v>
      </c>
      <c r="F35" s="3">
        <f t="shared" si="2"/>
        <v>1536</v>
      </c>
      <c r="G35" s="6">
        <v>0.71</v>
      </c>
      <c r="H35" s="11">
        <f>Tblsales[[#This Row],[Gross Sales]]*(1-Tblsales[[#This Row],[Discount]])</f>
        <v>445.44000000000005</v>
      </c>
      <c r="I35" s="11">
        <f>Tblsales[[#This Row],[Gross Sales]]*Tblsales[[#This Row],[Discount]]</f>
        <v>1090.56</v>
      </c>
      <c r="J35" s="3">
        <v>24</v>
      </c>
      <c r="K35" s="3">
        <f>Tblsales[[#This Row],[Cost_per_unit]]*Tblsales[[#This Row],[Units]]</f>
        <v>768</v>
      </c>
      <c r="L35" s="3">
        <f>Tblsales[[#This Row],[Gross Sales]]-Tblsales[[#This Row],[Units]]*Tblsales[[#This Row],[Cost_per_unit]]-Tblsales[[#This Row],[Gross Sales]]*Tblsales[[#This Row],[Discount]]</f>
        <v>-322.55999999999995</v>
      </c>
      <c r="M35" s="3">
        <f>Tblsales[[#This Row],[Profit]]/Tblsales[[#This Row],[Net_Sales]]</f>
        <v>-0.72413793103448254</v>
      </c>
      <c r="N35" s="2">
        <f>EOMONTH(Tblsales[[#This Row],[Date]],-1)+1</f>
        <v>44986</v>
      </c>
      <c r="O35" s="3" t="str">
        <f t="shared" si="3"/>
        <v>Accessories</v>
      </c>
    </row>
    <row r="36" spans="1:15" x14ac:dyDescent="0.3">
      <c r="A36" s="2">
        <v>44957</v>
      </c>
      <c r="B36" t="s">
        <v>9</v>
      </c>
      <c r="C36" t="s">
        <v>6</v>
      </c>
      <c r="D36">
        <v>22</v>
      </c>
      <c r="E36" s="3">
        <v>73</v>
      </c>
      <c r="F36" s="3">
        <f t="shared" si="2"/>
        <v>1606</v>
      </c>
      <c r="G36" s="6">
        <v>0.7</v>
      </c>
      <c r="H36" s="11">
        <f>Tblsales[[#This Row],[Gross Sales]]*(1-Tblsales[[#This Row],[Discount]])</f>
        <v>481.80000000000007</v>
      </c>
      <c r="I36" s="11">
        <f>Tblsales[[#This Row],[Gross Sales]]*Tblsales[[#This Row],[Discount]]</f>
        <v>1124.1999999999998</v>
      </c>
      <c r="J36" s="3">
        <v>10.950000000000001</v>
      </c>
      <c r="K36" s="3">
        <f>Tblsales[[#This Row],[Cost_per_unit]]*Tblsales[[#This Row],[Units]]</f>
        <v>240.90000000000003</v>
      </c>
      <c r="L36" s="3">
        <f>Tblsales[[#This Row],[Gross Sales]]-Tblsales[[#This Row],[Units]]*Tblsales[[#This Row],[Cost_per_unit]]-Tblsales[[#This Row],[Gross Sales]]*Tblsales[[#This Row],[Discount]]</f>
        <v>240.90000000000009</v>
      </c>
      <c r="M36" s="3">
        <f>Tblsales[[#This Row],[Profit]]/Tblsales[[#This Row],[Net_Sales]]</f>
        <v>0.50000000000000011</v>
      </c>
      <c r="N36" s="2">
        <f>EOMONTH(Tblsales[[#This Row],[Date]],-1)+1</f>
        <v>44927</v>
      </c>
      <c r="O36" s="3" t="str">
        <f t="shared" si="3"/>
        <v>Stationery</v>
      </c>
    </row>
    <row r="37" spans="1:15" x14ac:dyDescent="0.3">
      <c r="A37" s="2">
        <v>44986</v>
      </c>
      <c r="B37" t="s">
        <v>14</v>
      </c>
      <c r="C37" t="s">
        <v>4</v>
      </c>
      <c r="D37">
        <v>91</v>
      </c>
      <c r="E37" s="3">
        <v>74</v>
      </c>
      <c r="F37" s="3">
        <f t="shared" si="2"/>
        <v>6734</v>
      </c>
      <c r="G37" s="6">
        <v>0.33</v>
      </c>
      <c r="H37" s="11">
        <f>Tblsales[[#This Row],[Gross Sales]]*(1-Tblsales[[#This Row],[Discount]])</f>
        <v>4511.78</v>
      </c>
      <c r="I37" s="11">
        <f>Tblsales[[#This Row],[Gross Sales]]*Tblsales[[#This Row],[Discount]]</f>
        <v>2222.2200000000003</v>
      </c>
      <c r="J37" s="3">
        <v>15.539999999999997</v>
      </c>
      <c r="K37" s="3">
        <f>Tblsales[[#This Row],[Cost_per_unit]]*Tblsales[[#This Row],[Units]]</f>
        <v>1414.1399999999999</v>
      </c>
      <c r="L37" s="3">
        <f>Tblsales[[#This Row],[Gross Sales]]-Tblsales[[#This Row],[Units]]*Tblsales[[#This Row],[Cost_per_unit]]-Tblsales[[#This Row],[Gross Sales]]*Tblsales[[#This Row],[Discount]]</f>
        <v>3097.6400000000003</v>
      </c>
      <c r="M37" s="3">
        <f>Tblsales[[#This Row],[Profit]]/Tblsales[[#This Row],[Net_Sales]]</f>
        <v>0.68656716417910457</v>
      </c>
      <c r="N37" s="2">
        <f>EOMONTH(Tblsales[[#This Row],[Date]],-1)+1</f>
        <v>44986</v>
      </c>
      <c r="O37" s="3" t="str">
        <f t="shared" si="3"/>
        <v>Stationery</v>
      </c>
    </row>
    <row r="38" spans="1:15" x14ac:dyDescent="0.3">
      <c r="A38" s="2">
        <v>45004</v>
      </c>
      <c r="B38" t="s">
        <v>14</v>
      </c>
      <c r="C38" t="s">
        <v>10</v>
      </c>
      <c r="D38">
        <v>124</v>
      </c>
      <c r="E38" s="3">
        <v>76</v>
      </c>
      <c r="F38" s="3">
        <f t="shared" si="2"/>
        <v>9424</v>
      </c>
      <c r="G38" s="6">
        <v>0.56999999999999995</v>
      </c>
      <c r="H38" s="11">
        <f>Tblsales[[#This Row],[Gross Sales]]*(1-Tblsales[[#This Row],[Discount]])</f>
        <v>4052.3200000000006</v>
      </c>
      <c r="I38" s="11">
        <f>Tblsales[[#This Row],[Gross Sales]]*Tblsales[[#This Row],[Discount]]</f>
        <v>5371.6799999999994</v>
      </c>
      <c r="J38" s="3">
        <v>34.959999999999994</v>
      </c>
      <c r="K38" s="3">
        <f>Tblsales[[#This Row],[Cost_per_unit]]*Tblsales[[#This Row],[Units]]</f>
        <v>4335.0399999999991</v>
      </c>
      <c r="L38" s="3">
        <f>Tblsales[[#This Row],[Gross Sales]]-Tblsales[[#This Row],[Units]]*Tblsales[[#This Row],[Cost_per_unit]]-Tblsales[[#This Row],[Gross Sales]]*Tblsales[[#This Row],[Discount]]</f>
        <v>-282.71999999999844</v>
      </c>
      <c r="M38" s="3">
        <f>Tblsales[[#This Row],[Profit]]/Tblsales[[#This Row],[Net_Sales]]</f>
        <v>-6.9767441860464713E-2</v>
      </c>
      <c r="N38" s="2">
        <f>EOMONTH(Tblsales[[#This Row],[Date]],-1)+1</f>
        <v>44986</v>
      </c>
      <c r="O38" s="3" t="str">
        <f t="shared" si="3"/>
        <v>Sports</v>
      </c>
    </row>
    <row r="39" spans="1:15" x14ac:dyDescent="0.3">
      <c r="A39" s="2">
        <v>44929</v>
      </c>
      <c r="B39" t="s">
        <v>7</v>
      </c>
      <c r="C39" t="s">
        <v>6</v>
      </c>
      <c r="D39">
        <v>116</v>
      </c>
      <c r="E39" s="3">
        <v>66</v>
      </c>
      <c r="F39" s="3">
        <f t="shared" si="2"/>
        <v>7656</v>
      </c>
      <c r="G39" s="6">
        <v>0.63</v>
      </c>
      <c r="H39" s="11">
        <f>Tblsales[[#This Row],[Gross Sales]]*(1-Tblsales[[#This Row],[Discount]])</f>
        <v>2832.72</v>
      </c>
      <c r="I39" s="11">
        <f>Tblsales[[#This Row],[Gross Sales]]*Tblsales[[#This Row],[Discount]]</f>
        <v>4823.28</v>
      </c>
      <c r="J39" s="3">
        <v>34.980000000000004</v>
      </c>
      <c r="K39" s="3">
        <f>Tblsales[[#This Row],[Cost_per_unit]]*Tblsales[[#This Row],[Units]]</f>
        <v>4057.6800000000003</v>
      </c>
      <c r="L39" s="3">
        <f>Tblsales[[#This Row],[Gross Sales]]-Tblsales[[#This Row],[Units]]*Tblsales[[#This Row],[Cost_per_unit]]-Tblsales[[#This Row],[Gross Sales]]*Tblsales[[#This Row],[Discount]]</f>
        <v>-1224.96</v>
      </c>
      <c r="M39" s="3">
        <f>Tblsales[[#This Row],[Profit]]/Tblsales[[#This Row],[Net_Sales]]</f>
        <v>-0.43243243243243246</v>
      </c>
      <c r="N39" s="2">
        <f>EOMONTH(Tblsales[[#This Row],[Date]],-1)+1</f>
        <v>44927</v>
      </c>
      <c r="O39" s="3" t="str">
        <f t="shared" si="3"/>
        <v>Stationery</v>
      </c>
    </row>
    <row r="40" spans="1:15" x14ac:dyDescent="0.3">
      <c r="A40" s="2">
        <v>44986</v>
      </c>
      <c r="B40" t="s">
        <v>8</v>
      </c>
      <c r="C40" t="s">
        <v>5</v>
      </c>
      <c r="D40">
        <v>86</v>
      </c>
      <c r="E40" s="3">
        <v>88</v>
      </c>
      <c r="F40" s="3">
        <f t="shared" si="2"/>
        <v>7568</v>
      </c>
      <c r="G40" s="6">
        <v>0.38</v>
      </c>
      <c r="H40" s="11">
        <f>Tblsales[[#This Row],[Gross Sales]]*(1-Tblsales[[#This Row],[Discount]])</f>
        <v>4692.16</v>
      </c>
      <c r="I40" s="11">
        <f>Tblsales[[#This Row],[Gross Sales]]*Tblsales[[#This Row],[Discount]]</f>
        <v>2875.84</v>
      </c>
      <c r="J40" s="3">
        <v>58.959999999999994</v>
      </c>
      <c r="K40" s="3">
        <f>Tblsales[[#This Row],[Cost_per_unit]]*Tblsales[[#This Row],[Units]]</f>
        <v>5070.5599999999995</v>
      </c>
      <c r="L40" s="3">
        <f>Tblsales[[#This Row],[Gross Sales]]-Tblsales[[#This Row],[Units]]*Tblsales[[#This Row],[Cost_per_unit]]-Tblsales[[#This Row],[Gross Sales]]*Tblsales[[#This Row],[Discount]]</f>
        <v>-378.39999999999964</v>
      </c>
      <c r="M40" s="3">
        <f>Tblsales[[#This Row],[Profit]]/Tblsales[[#This Row],[Net_Sales]]</f>
        <v>-8.0645161290322509E-2</v>
      </c>
      <c r="N40" s="2">
        <f>EOMONTH(Tblsales[[#This Row],[Date]],-1)+1</f>
        <v>44986</v>
      </c>
      <c r="O40" s="3" t="str">
        <f t="shared" si="3"/>
        <v>Stationery</v>
      </c>
    </row>
    <row r="41" spans="1:15" x14ac:dyDescent="0.3">
      <c r="A41" s="2">
        <v>44981</v>
      </c>
      <c r="B41" t="s">
        <v>7</v>
      </c>
      <c r="C41" t="s">
        <v>18</v>
      </c>
      <c r="D41">
        <v>188</v>
      </c>
      <c r="E41" s="3">
        <v>75</v>
      </c>
      <c r="F41" s="3">
        <f t="shared" si="2"/>
        <v>14100</v>
      </c>
      <c r="G41" s="6">
        <v>0.28999999999999998</v>
      </c>
      <c r="H41" s="11">
        <f>Tblsales[[#This Row],[Gross Sales]]*(1-Tblsales[[#This Row],[Discount]])</f>
        <v>10011</v>
      </c>
      <c r="I41" s="11">
        <f>Tblsales[[#This Row],[Gross Sales]]*Tblsales[[#This Row],[Discount]]</f>
        <v>4088.9999999999995</v>
      </c>
      <c r="J41" s="3">
        <v>23.250000000000004</v>
      </c>
      <c r="K41" s="3">
        <f>Tblsales[[#This Row],[Cost_per_unit]]*Tblsales[[#This Row],[Units]]</f>
        <v>4371.0000000000009</v>
      </c>
      <c r="L41" s="3">
        <f>Tblsales[[#This Row],[Gross Sales]]-Tblsales[[#This Row],[Units]]*Tblsales[[#This Row],[Cost_per_unit]]-Tblsales[[#This Row],[Gross Sales]]*Tblsales[[#This Row],[Discount]]</f>
        <v>5640</v>
      </c>
      <c r="M41" s="3">
        <f>Tblsales[[#This Row],[Profit]]/Tblsales[[#This Row],[Net_Sales]]</f>
        <v>0.56338028169014087</v>
      </c>
      <c r="N41" s="2">
        <f>EOMONTH(Tblsales[[#This Row],[Date]],-1)+1</f>
        <v>44958</v>
      </c>
      <c r="O41" s="3" t="str">
        <f t="shared" si="3"/>
        <v>Accessories</v>
      </c>
    </row>
    <row r="42" spans="1:15" x14ac:dyDescent="0.3">
      <c r="A42" s="2">
        <v>44961</v>
      </c>
      <c r="B42" t="s">
        <v>9</v>
      </c>
      <c r="C42" t="s">
        <v>17</v>
      </c>
      <c r="D42">
        <v>27</v>
      </c>
      <c r="E42" s="3">
        <v>67</v>
      </c>
      <c r="F42" s="3">
        <f t="shared" si="2"/>
        <v>1809</v>
      </c>
      <c r="G42" s="6">
        <v>0.4</v>
      </c>
      <c r="H42" s="11">
        <f>Tblsales[[#This Row],[Gross Sales]]*(1-Tblsales[[#This Row],[Discount]])</f>
        <v>1085.3999999999999</v>
      </c>
      <c r="I42" s="11">
        <f>Tblsales[[#This Row],[Gross Sales]]*Tblsales[[#This Row],[Discount]]</f>
        <v>723.6</v>
      </c>
      <c r="J42" s="3">
        <v>32.159999999999997</v>
      </c>
      <c r="K42" s="3">
        <f>Tblsales[[#This Row],[Cost_per_unit]]*Tblsales[[#This Row],[Units]]</f>
        <v>868.31999999999994</v>
      </c>
      <c r="L42" s="3">
        <f>Tblsales[[#This Row],[Gross Sales]]-Tblsales[[#This Row],[Units]]*Tblsales[[#This Row],[Cost_per_unit]]-Tblsales[[#This Row],[Gross Sales]]*Tblsales[[#This Row],[Discount]]</f>
        <v>217.08000000000004</v>
      </c>
      <c r="M42" s="3">
        <f>Tblsales[[#This Row],[Profit]]/Tblsales[[#This Row],[Net_Sales]]</f>
        <v>0.20000000000000007</v>
      </c>
      <c r="N42" s="2">
        <f>EOMONTH(Tblsales[[#This Row],[Date]],-1)+1</f>
        <v>44958</v>
      </c>
      <c r="O42" s="3" t="str">
        <f t="shared" si="3"/>
        <v>Accessories</v>
      </c>
    </row>
    <row r="43" spans="1:15" x14ac:dyDescent="0.3">
      <c r="A43" s="2">
        <v>45008</v>
      </c>
      <c r="B43" t="s">
        <v>7</v>
      </c>
      <c r="C43" t="s">
        <v>4</v>
      </c>
      <c r="D43">
        <v>120</v>
      </c>
      <c r="E43" s="3">
        <v>78</v>
      </c>
      <c r="F43" s="3">
        <f t="shared" si="2"/>
        <v>9360</v>
      </c>
      <c r="G43" s="6">
        <v>0.56000000000000005</v>
      </c>
      <c r="H43" s="11">
        <f>Tblsales[[#This Row],[Gross Sales]]*(1-Tblsales[[#This Row],[Discount]])</f>
        <v>4118.3999999999996</v>
      </c>
      <c r="I43" s="11">
        <f>Tblsales[[#This Row],[Gross Sales]]*Tblsales[[#This Row],[Discount]]</f>
        <v>5241.6000000000004</v>
      </c>
      <c r="J43" s="3">
        <v>28.08</v>
      </c>
      <c r="K43" s="3">
        <f>Tblsales[[#This Row],[Cost_per_unit]]*Tblsales[[#This Row],[Units]]</f>
        <v>3369.6</v>
      </c>
      <c r="L43" s="3">
        <f>Tblsales[[#This Row],[Gross Sales]]-Tblsales[[#This Row],[Units]]*Tblsales[[#This Row],[Cost_per_unit]]-Tblsales[[#This Row],[Gross Sales]]*Tblsales[[#This Row],[Discount]]</f>
        <v>748.79999999999927</v>
      </c>
      <c r="M43" s="3">
        <f>Tblsales[[#This Row],[Profit]]/Tblsales[[#This Row],[Net_Sales]]</f>
        <v>0.18181818181818166</v>
      </c>
      <c r="N43" s="2">
        <f>EOMONTH(Tblsales[[#This Row],[Date]],-1)+1</f>
        <v>44986</v>
      </c>
      <c r="O43" s="3" t="str">
        <f t="shared" si="3"/>
        <v>Stationery</v>
      </c>
    </row>
    <row r="44" spans="1:15" x14ac:dyDescent="0.3">
      <c r="A44" s="2">
        <v>44971</v>
      </c>
      <c r="B44" t="s">
        <v>7</v>
      </c>
      <c r="C44" t="s">
        <v>19</v>
      </c>
      <c r="D44">
        <v>158</v>
      </c>
      <c r="E44" s="3">
        <v>80</v>
      </c>
      <c r="F44" s="3">
        <f t="shared" si="2"/>
        <v>12640</v>
      </c>
      <c r="G44" s="6">
        <v>0.4</v>
      </c>
      <c r="H44" s="11">
        <f>Tblsales[[#This Row],[Gross Sales]]*(1-Tblsales[[#This Row],[Discount]])</f>
        <v>7584</v>
      </c>
      <c r="I44" s="11">
        <f>Tblsales[[#This Row],[Gross Sales]]*Tblsales[[#This Row],[Discount]]</f>
        <v>5056</v>
      </c>
      <c r="J44" s="3">
        <v>56</v>
      </c>
      <c r="K44" s="3">
        <f>Tblsales[[#This Row],[Cost_per_unit]]*Tblsales[[#This Row],[Units]]</f>
        <v>8848</v>
      </c>
      <c r="L44" s="3">
        <f>Tblsales[[#This Row],[Gross Sales]]-Tblsales[[#This Row],[Units]]*Tblsales[[#This Row],[Cost_per_unit]]-Tblsales[[#This Row],[Gross Sales]]*Tblsales[[#This Row],[Discount]]</f>
        <v>-1264</v>
      </c>
      <c r="M44" s="3">
        <f>Tblsales[[#This Row],[Profit]]/Tblsales[[#This Row],[Net_Sales]]</f>
        <v>-0.16666666666666666</v>
      </c>
      <c r="N44" s="2">
        <f>EOMONTH(Tblsales[[#This Row],[Date]],-1)+1</f>
        <v>44958</v>
      </c>
      <c r="O44" s="3" t="str">
        <f t="shared" si="3"/>
        <v>Sports</v>
      </c>
    </row>
    <row r="45" spans="1:15" x14ac:dyDescent="0.3">
      <c r="A45" s="2">
        <v>44989</v>
      </c>
      <c r="B45" t="s">
        <v>9</v>
      </c>
      <c r="C45" t="s">
        <v>16</v>
      </c>
      <c r="D45">
        <v>56</v>
      </c>
      <c r="E45" s="3">
        <v>80</v>
      </c>
      <c r="F45" s="3">
        <f t="shared" si="2"/>
        <v>4480</v>
      </c>
      <c r="G45" s="6">
        <v>0.44</v>
      </c>
      <c r="H45" s="11">
        <f>Tblsales[[#This Row],[Gross Sales]]*(1-Tblsales[[#This Row],[Discount]])</f>
        <v>2508.8000000000002</v>
      </c>
      <c r="I45" s="11">
        <f>Tblsales[[#This Row],[Gross Sales]]*Tblsales[[#This Row],[Discount]]</f>
        <v>1971.2</v>
      </c>
      <c r="J45" s="3">
        <v>40</v>
      </c>
      <c r="K45" s="3">
        <f>Tblsales[[#This Row],[Cost_per_unit]]*Tblsales[[#This Row],[Units]]</f>
        <v>2240</v>
      </c>
      <c r="L45" s="3">
        <f>Tblsales[[#This Row],[Gross Sales]]-Tblsales[[#This Row],[Units]]*Tblsales[[#This Row],[Cost_per_unit]]-Tblsales[[#This Row],[Gross Sales]]*Tblsales[[#This Row],[Discount]]</f>
        <v>268.79999999999995</v>
      </c>
      <c r="M45" s="3">
        <f>Tblsales[[#This Row],[Profit]]/Tblsales[[#This Row],[Net_Sales]]</f>
        <v>0.10714285714285712</v>
      </c>
      <c r="N45" s="2">
        <f>EOMONTH(Tblsales[[#This Row],[Date]],-1)+1</f>
        <v>44986</v>
      </c>
      <c r="O45" s="3" t="str">
        <f t="shared" si="3"/>
        <v>Sports</v>
      </c>
    </row>
    <row r="46" spans="1:15" x14ac:dyDescent="0.3">
      <c r="A46" s="2">
        <v>45014</v>
      </c>
      <c r="B46" t="s">
        <v>8</v>
      </c>
      <c r="C46" t="s">
        <v>5</v>
      </c>
      <c r="D46">
        <v>136</v>
      </c>
      <c r="E46" s="3">
        <v>85</v>
      </c>
      <c r="F46" s="3">
        <f t="shared" si="2"/>
        <v>11560</v>
      </c>
      <c r="G46" s="6">
        <v>0.37</v>
      </c>
      <c r="H46" s="11">
        <f>Tblsales[[#This Row],[Gross Sales]]*(1-Tblsales[[#This Row],[Discount]])</f>
        <v>7282.8</v>
      </c>
      <c r="I46" s="11">
        <f>Tblsales[[#This Row],[Gross Sales]]*Tblsales[[#This Row],[Discount]]</f>
        <v>4277.2</v>
      </c>
      <c r="J46" s="3">
        <v>39.949999999999996</v>
      </c>
      <c r="K46" s="3">
        <f>Tblsales[[#This Row],[Cost_per_unit]]*Tblsales[[#This Row],[Units]]</f>
        <v>5433.2</v>
      </c>
      <c r="L46" s="3">
        <f>Tblsales[[#This Row],[Gross Sales]]-Tblsales[[#This Row],[Units]]*Tblsales[[#This Row],[Cost_per_unit]]-Tblsales[[#This Row],[Gross Sales]]*Tblsales[[#This Row],[Discount]]</f>
        <v>1849.6000000000004</v>
      </c>
      <c r="M46" s="3">
        <f>Tblsales[[#This Row],[Profit]]/Tblsales[[#This Row],[Net_Sales]]</f>
        <v>0.25396825396825401</v>
      </c>
      <c r="N46" s="2">
        <f>EOMONTH(Tblsales[[#This Row],[Date]],-1)+1</f>
        <v>44986</v>
      </c>
      <c r="O46" s="3" t="str">
        <f t="shared" si="3"/>
        <v>Stationery</v>
      </c>
    </row>
    <row r="47" spans="1:15" x14ac:dyDescent="0.3">
      <c r="A47" s="2">
        <v>44974</v>
      </c>
      <c r="B47" t="s">
        <v>9</v>
      </c>
      <c r="C47" t="s">
        <v>20</v>
      </c>
      <c r="D47">
        <v>144</v>
      </c>
      <c r="E47" s="3">
        <v>78</v>
      </c>
      <c r="F47" s="3">
        <f t="shared" si="2"/>
        <v>11232</v>
      </c>
      <c r="G47" s="6">
        <v>0.59</v>
      </c>
      <c r="H47" s="11">
        <f>Tblsales[[#This Row],[Gross Sales]]*(1-Tblsales[[#This Row],[Discount]])</f>
        <v>4605.1200000000008</v>
      </c>
      <c r="I47" s="11">
        <f>Tblsales[[#This Row],[Gross Sales]]*Tblsales[[#This Row],[Discount]]</f>
        <v>6626.8799999999992</v>
      </c>
      <c r="J47" s="3">
        <v>49.92</v>
      </c>
      <c r="K47" s="3">
        <f>Tblsales[[#This Row],[Cost_per_unit]]*Tblsales[[#This Row],[Units]]</f>
        <v>7188.4800000000005</v>
      </c>
      <c r="L47" s="3">
        <f>Tblsales[[#This Row],[Gross Sales]]-Tblsales[[#This Row],[Units]]*Tblsales[[#This Row],[Cost_per_unit]]-Tblsales[[#This Row],[Gross Sales]]*Tblsales[[#This Row],[Discount]]</f>
        <v>-2583.3599999999997</v>
      </c>
      <c r="M47" s="3">
        <f>Tblsales[[#This Row],[Profit]]/Tblsales[[#This Row],[Net_Sales]]</f>
        <v>-0.56097560975609739</v>
      </c>
      <c r="N47" s="2">
        <f>EOMONTH(Tblsales[[#This Row],[Date]],-1)+1</f>
        <v>44958</v>
      </c>
      <c r="O47" s="3" t="str">
        <f t="shared" si="3"/>
        <v>Accessories</v>
      </c>
    </row>
    <row r="48" spans="1:15" x14ac:dyDescent="0.3">
      <c r="A48" s="2">
        <v>44931</v>
      </c>
      <c r="B48" t="s">
        <v>7</v>
      </c>
      <c r="C48" t="s">
        <v>16</v>
      </c>
      <c r="D48">
        <v>69</v>
      </c>
      <c r="E48" s="3">
        <v>45</v>
      </c>
      <c r="F48" s="3">
        <f t="shared" si="2"/>
        <v>3105</v>
      </c>
      <c r="G48" s="6">
        <v>0.67</v>
      </c>
      <c r="H48" s="11">
        <f>Tblsales[[#This Row],[Gross Sales]]*(1-Tblsales[[#This Row],[Discount]])</f>
        <v>1024.6499999999999</v>
      </c>
      <c r="I48" s="11">
        <f>Tblsales[[#This Row],[Gross Sales]]*Tblsales[[#This Row],[Discount]]</f>
        <v>2080.35</v>
      </c>
      <c r="J48" s="3">
        <v>19.799999999999997</v>
      </c>
      <c r="K48" s="3">
        <f>Tblsales[[#This Row],[Cost_per_unit]]*Tblsales[[#This Row],[Units]]</f>
        <v>1366.1999999999998</v>
      </c>
      <c r="L48" s="3">
        <f>Tblsales[[#This Row],[Gross Sales]]-Tblsales[[#This Row],[Units]]*Tblsales[[#This Row],[Cost_per_unit]]-Tblsales[[#This Row],[Gross Sales]]*Tblsales[[#This Row],[Discount]]</f>
        <v>-341.54999999999973</v>
      </c>
      <c r="M48" s="3">
        <f>Tblsales[[#This Row],[Profit]]/Tblsales[[#This Row],[Net_Sales]]</f>
        <v>-0.33333333333333309</v>
      </c>
      <c r="N48" s="2">
        <f>EOMONTH(Tblsales[[#This Row],[Date]],-1)+1</f>
        <v>44927</v>
      </c>
      <c r="O48" s="3" t="str">
        <f t="shared" si="3"/>
        <v>Sports</v>
      </c>
    </row>
    <row r="49" spans="1:15" x14ac:dyDescent="0.3">
      <c r="A49" s="2">
        <v>44965</v>
      </c>
      <c r="B49" t="s">
        <v>9</v>
      </c>
      <c r="C49" t="s">
        <v>4</v>
      </c>
      <c r="D49">
        <v>110</v>
      </c>
      <c r="E49" s="3">
        <v>38</v>
      </c>
      <c r="F49" s="3">
        <f t="shared" si="2"/>
        <v>4180</v>
      </c>
      <c r="G49" s="6">
        <v>0.28000000000000003</v>
      </c>
      <c r="H49" s="11">
        <f>Tblsales[[#This Row],[Gross Sales]]*(1-Tblsales[[#This Row],[Discount]])</f>
        <v>3009.6</v>
      </c>
      <c r="I49" s="11">
        <f>Tblsales[[#This Row],[Gross Sales]]*Tblsales[[#This Row],[Discount]]</f>
        <v>1170.4000000000001</v>
      </c>
      <c r="J49" s="3">
        <v>24.7</v>
      </c>
      <c r="K49" s="3">
        <f>Tblsales[[#This Row],[Cost_per_unit]]*Tblsales[[#This Row],[Units]]</f>
        <v>2717</v>
      </c>
      <c r="L49" s="3">
        <f>Tblsales[[#This Row],[Gross Sales]]-Tblsales[[#This Row],[Units]]*Tblsales[[#This Row],[Cost_per_unit]]-Tblsales[[#This Row],[Gross Sales]]*Tblsales[[#This Row],[Discount]]</f>
        <v>292.59999999999991</v>
      </c>
      <c r="M49" s="3">
        <f>Tblsales[[#This Row],[Profit]]/Tblsales[[#This Row],[Net_Sales]]</f>
        <v>9.7222222222222196E-2</v>
      </c>
      <c r="N49" s="2">
        <f>EOMONTH(Tblsales[[#This Row],[Date]],-1)+1</f>
        <v>44958</v>
      </c>
      <c r="O49" s="3" t="str">
        <f t="shared" si="3"/>
        <v>Stationery</v>
      </c>
    </row>
    <row r="50" spans="1:15" x14ac:dyDescent="0.3">
      <c r="A50" s="2">
        <v>44931</v>
      </c>
      <c r="B50" t="s">
        <v>9</v>
      </c>
      <c r="C50" t="s">
        <v>10</v>
      </c>
      <c r="D50">
        <v>35</v>
      </c>
      <c r="E50" s="3">
        <v>68</v>
      </c>
      <c r="F50" s="3">
        <f t="shared" si="2"/>
        <v>2380</v>
      </c>
      <c r="G50" s="6">
        <v>0.8</v>
      </c>
      <c r="H50" s="11">
        <f>Tblsales[[#This Row],[Gross Sales]]*(1-Tblsales[[#This Row],[Discount]])</f>
        <v>475.99999999999989</v>
      </c>
      <c r="I50" s="11">
        <f>Tblsales[[#This Row],[Gross Sales]]*Tblsales[[#This Row],[Discount]]</f>
        <v>1904</v>
      </c>
      <c r="J50" s="3">
        <v>32.64</v>
      </c>
      <c r="K50" s="3">
        <f>Tblsales[[#This Row],[Cost_per_unit]]*Tblsales[[#This Row],[Units]]</f>
        <v>1142.4000000000001</v>
      </c>
      <c r="L50" s="3">
        <f>Tblsales[[#This Row],[Gross Sales]]-Tblsales[[#This Row],[Units]]*Tblsales[[#This Row],[Cost_per_unit]]-Tblsales[[#This Row],[Gross Sales]]*Tblsales[[#This Row],[Discount]]</f>
        <v>-666.40000000000009</v>
      </c>
      <c r="M50" s="3">
        <f>Tblsales[[#This Row],[Profit]]/Tblsales[[#This Row],[Net_Sales]]</f>
        <v>-1.4000000000000006</v>
      </c>
      <c r="N50" s="2">
        <f>EOMONTH(Tblsales[[#This Row],[Date]],-1)+1</f>
        <v>44927</v>
      </c>
      <c r="O50" s="3" t="str">
        <f t="shared" si="3"/>
        <v>Sports</v>
      </c>
    </row>
    <row r="51" spans="1:15" x14ac:dyDescent="0.3">
      <c r="A51" s="2">
        <v>44990</v>
      </c>
      <c r="B51" t="s">
        <v>9</v>
      </c>
      <c r="C51" t="s">
        <v>10</v>
      </c>
      <c r="D51">
        <v>183</v>
      </c>
      <c r="E51" s="3">
        <v>81</v>
      </c>
      <c r="F51" s="3">
        <f t="shared" si="2"/>
        <v>14823</v>
      </c>
      <c r="G51" s="6">
        <v>0.26</v>
      </c>
      <c r="H51" s="11">
        <f>Tblsales[[#This Row],[Gross Sales]]*(1-Tblsales[[#This Row],[Discount]])</f>
        <v>10969.02</v>
      </c>
      <c r="I51" s="11">
        <f>Tblsales[[#This Row],[Gross Sales]]*Tblsales[[#This Row],[Discount]]</f>
        <v>3853.98</v>
      </c>
      <c r="J51" s="3">
        <v>17.009999999999998</v>
      </c>
      <c r="K51" s="3">
        <f>Tblsales[[#This Row],[Cost_per_unit]]*Tblsales[[#This Row],[Units]]</f>
        <v>3112.8299999999995</v>
      </c>
      <c r="L51" s="3">
        <f>Tblsales[[#This Row],[Gross Sales]]-Tblsales[[#This Row],[Units]]*Tblsales[[#This Row],[Cost_per_unit]]-Tblsales[[#This Row],[Gross Sales]]*Tblsales[[#This Row],[Discount]]</f>
        <v>7856.1900000000005</v>
      </c>
      <c r="M51" s="3">
        <f>Tblsales[[#This Row],[Profit]]/Tblsales[[#This Row],[Net_Sales]]</f>
        <v>0.71621621621621623</v>
      </c>
      <c r="N51" s="2">
        <f>EOMONTH(Tblsales[[#This Row],[Date]],-1)+1</f>
        <v>44986</v>
      </c>
      <c r="O51" s="3" t="str">
        <f t="shared" si="3"/>
        <v>Sports</v>
      </c>
    </row>
    <row r="52" spans="1:15" x14ac:dyDescent="0.3">
      <c r="A52" s="2">
        <v>44958</v>
      </c>
      <c r="B52" t="s">
        <v>8</v>
      </c>
      <c r="C52" t="s">
        <v>18</v>
      </c>
      <c r="D52">
        <v>80</v>
      </c>
      <c r="E52" s="3">
        <v>70</v>
      </c>
      <c r="F52" s="3">
        <f t="shared" ref="F52:F83" si="4">D52*E52</f>
        <v>5600</v>
      </c>
      <c r="G52" s="6">
        <v>0.9</v>
      </c>
      <c r="H52" s="11">
        <f>Tblsales[[#This Row],[Gross Sales]]*(1-Tblsales[[#This Row],[Discount]])</f>
        <v>559.99999999999989</v>
      </c>
      <c r="I52" s="11">
        <f>Tblsales[[#This Row],[Gross Sales]]*Tblsales[[#This Row],[Discount]]</f>
        <v>5040</v>
      </c>
      <c r="J52" s="3">
        <v>42.699999999999996</v>
      </c>
      <c r="K52" s="3">
        <f>Tblsales[[#This Row],[Cost_per_unit]]*Tblsales[[#This Row],[Units]]</f>
        <v>3415.9999999999995</v>
      </c>
      <c r="L52" s="3">
        <f>Tblsales[[#This Row],[Gross Sales]]-Tblsales[[#This Row],[Units]]*Tblsales[[#This Row],[Cost_per_unit]]-Tblsales[[#This Row],[Gross Sales]]*Tblsales[[#This Row],[Discount]]</f>
        <v>-2855.9999999999995</v>
      </c>
      <c r="M52" s="3">
        <f>Tblsales[[#This Row],[Profit]]/Tblsales[[#This Row],[Net_Sales]]</f>
        <v>-5.1000000000000005</v>
      </c>
      <c r="N52" s="2">
        <f>EOMONTH(Tblsales[[#This Row],[Date]],-1)+1</f>
        <v>44958</v>
      </c>
      <c r="O52" s="3" t="str">
        <f t="shared" si="3"/>
        <v>Accessories</v>
      </c>
    </row>
    <row r="53" spans="1:15" x14ac:dyDescent="0.3">
      <c r="A53" s="2">
        <v>44933</v>
      </c>
      <c r="B53" t="s">
        <v>14</v>
      </c>
      <c r="C53" t="s">
        <v>17</v>
      </c>
      <c r="D53">
        <v>158</v>
      </c>
      <c r="E53" s="3">
        <v>46</v>
      </c>
      <c r="F53" s="3">
        <f t="shared" si="4"/>
        <v>7268</v>
      </c>
      <c r="G53" s="6">
        <v>0.46</v>
      </c>
      <c r="H53" s="11">
        <f>Tblsales[[#This Row],[Gross Sales]]*(1-Tblsales[[#This Row],[Discount]])</f>
        <v>3924.7200000000003</v>
      </c>
      <c r="I53" s="11">
        <f>Tblsales[[#This Row],[Gross Sales]]*Tblsales[[#This Row],[Discount]]</f>
        <v>3343.28</v>
      </c>
      <c r="J53" s="3">
        <v>21.619999999999997</v>
      </c>
      <c r="K53" s="3">
        <f>Tblsales[[#This Row],[Cost_per_unit]]*Tblsales[[#This Row],[Units]]</f>
        <v>3415.9599999999996</v>
      </c>
      <c r="L53" s="3">
        <f>Tblsales[[#This Row],[Gross Sales]]-Tblsales[[#This Row],[Units]]*Tblsales[[#This Row],[Cost_per_unit]]-Tblsales[[#This Row],[Gross Sales]]*Tblsales[[#This Row],[Discount]]</f>
        <v>508.76000000000022</v>
      </c>
      <c r="M53" s="3">
        <f>Tblsales[[#This Row],[Profit]]/Tblsales[[#This Row],[Net_Sales]]</f>
        <v>0.12962962962962968</v>
      </c>
      <c r="N53" s="2">
        <f>EOMONTH(Tblsales[[#This Row],[Date]],-1)+1</f>
        <v>44927</v>
      </c>
      <c r="O53" s="3" t="str">
        <f t="shared" si="3"/>
        <v>Accessories</v>
      </c>
    </row>
    <row r="54" spans="1:15" x14ac:dyDescent="0.3">
      <c r="A54" s="2">
        <v>44992</v>
      </c>
      <c r="B54" t="s">
        <v>15</v>
      </c>
      <c r="C54" t="s">
        <v>16</v>
      </c>
      <c r="D54">
        <v>34</v>
      </c>
      <c r="E54" s="3">
        <v>43</v>
      </c>
      <c r="F54" s="3">
        <f t="shared" si="4"/>
        <v>1462</v>
      </c>
      <c r="G54" s="6">
        <v>0.43</v>
      </c>
      <c r="H54" s="11">
        <f>Tblsales[[#This Row],[Gross Sales]]*(1-Tblsales[[#This Row],[Discount]])</f>
        <v>833.34000000000015</v>
      </c>
      <c r="I54" s="11">
        <f>Tblsales[[#This Row],[Gross Sales]]*Tblsales[[#This Row],[Discount]]</f>
        <v>628.66</v>
      </c>
      <c r="J54" s="3">
        <v>8.1699999999999982</v>
      </c>
      <c r="K54" s="3">
        <f>Tblsales[[#This Row],[Cost_per_unit]]*Tblsales[[#This Row],[Units]]</f>
        <v>277.77999999999992</v>
      </c>
      <c r="L54" s="3">
        <f>Tblsales[[#This Row],[Gross Sales]]-Tblsales[[#This Row],[Units]]*Tblsales[[#This Row],[Cost_per_unit]]-Tblsales[[#This Row],[Gross Sales]]*Tblsales[[#This Row],[Discount]]</f>
        <v>555.56000000000006</v>
      </c>
      <c r="M54" s="3">
        <f>Tblsales[[#This Row],[Profit]]/Tblsales[[#This Row],[Net_Sales]]</f>
        <v>0.66666666666666663</v>
      </c>
      <c r="N54" s="2">
        <f>EOMONTH(Tblsales[[#This Row],[Date]],-1)+1</f>
        <v>44986</v>
      </c>
      <c r="O54" s="3" t="str">
        <f t="shared" si="3"/>
        <v>Sports</v>
      </c>
    </row>
    <row r="55" spans="1:15" x14ac:dyDescent="0.3">
      <c r="A55" s="2">
        <v>45002</v>
      </c>
      <c r="B55" t="s">
        <v>9</v>
      </c>
      <c r="C55" t="s">
        <v>19</v>
      </c>
      <c r="D55">
        <v>187</v>
      </c>
      <c r="E55" s="3">
        <v>38</v>
      </c>
      <c r="F55" s="3">
        <f t="shared" si="4"/>
        <v>7106</v>
      </c>
      <c r="G55" s="6">
        <v>0.28000000000000003</v>
      </c>
      <c r="H55" s="11">
        <f>Tblsales[[#This Row],[Gross Sales]]*(1-Tblsales[[#This Row],[Discount]])</f>
        <v>5116.32</v>
      </c>
      <c r="I55" s="11">
        <f>Tblsales[[#This Row],[Gross Sales]]*Tblsales[[#This Row],[Discount]]</f>
        <v>1989.6800000000003</v>
      </c>
      <c r="J55" s="3">
        <v>20.14</v>
      </c>
      <c r="K55" s="3">
        <f>Tblsales[[#This Row],[Cost_per_unit]]*Tblsales[[#This Row],[Units]]</f>
        <v>3766.1800000000003</v>
      </c>
      <c r="L55" s="3">
        <f>Tblsales[[#This Row],[Gross Sales]]-Tblsales[[#This Row],[Units]]*Tblsales[[#This Row],[Cost_per_unit]]-Tblsales[[#This Row],[Gross Sales]]*Tblsales[[#This Row],[Discount]]</f>
        <v>1350.1399999999994</v>
      </c>
      <c r="M55" s="3">
        <f>Tblsales[[#This Row],[Profit]]/Tblsales[[#This Row],[Net_Sales]]</f>
        <v>0.26388888888888878</v>
      </c>
      <c r="N55" s="2">
        <f>EOMONTH(Tblsales[[#This Row],[Date]],-1)+1</f>
        <v>44986</v>
      </c>
      <c r="O55" s="3" t="str">
        <f t="shared" si="3"/>
        <v>Sports</v>
      </c>
    </row>
    <row r="56" spans="1:15" x14ac:dyDescent="0.3">
      <c r="A56" s="2">
        <v>44991</v>
      </c>
      <c r="B56" t="s">
        <v>15</v>
      </c>
      <c r="C56" t="s">
        <v>10</v>
      </c>
      <c r="D56">
        <v>53</v>
      </c>
      <c r="E56" s="3">
        <v>51</v>
      </c>
      <c r="F56" s="3">
        <f t="shared" si="4"/>
        <v>2703</v>
      </c>
      <c r="G56" s="6">
        <v>0.43</v>
      </c>
      <c r="H56" s="11">
        <f>Tblsales[[#This Row],[Gross Sales]]*(1-Tblsales[[#This Row],[Discount]])</f>
        <v>1540.7100000000003</v>
      </c>
      <c r="I56" s="11">
        <f>Tblsales[[#This Row],[Gross Sales]]*Tblsales[[#This Row],[Discount]]</f>
        <v>1162.29</v>
      </c>
      <c r="J56" s="3">
        <v>13.26</v>
      </c>
      <c r="K56" s="3">
        <f>Tblsales[[#This Row],[Cost_per_unit]]*Tblsales[[#This Row],[Units]]</f>
        <v>702.78</v>
      </c>
      <c r="L56" s="3">
        <f>Tblsales[[#This Row],[Gross Sales]]-Tblsales[[#This Row],[Units]]*Tblsales[[#This Row],[Cost_per_unit]]-Tblsales[[#This Row],[Gross Sales]]*Tblsales[[#This Row],[Discount]]</f>
        <v>837.93000000000006</v>
      </c>
      <c r="M56" s="3">
        <f>Tblsales[[#This Row],[Profit]]/Tblsales[[#This Row],[Net_Sales]]</f>
        <v>0.54385964912280693</v>
      </c>
      <c r="N56" s="2">
        <f>EOMONTH(Tblsales[[#This Row],[Date]],-1)+1</f>
        <v>44986</v>
      </c>
      <c r="O56" s="3" t="str">
        <f t="shared" si="3"/>
        <v>Sports</v>
      </c>
    </row>
    <row r="57" spans="1:15" x14ac:dyDescent="0.3">
      <c r="A57" s="2">
        <v>44997</v>
      </c>
      <c r="B57" t="s">
        <v>8</v>
      </c>
      <c r="C57" t="s">
        <v>6</v>
      </c>
      <c r="D57">
        <v>33</v>
      </c>
      <c r="E57" s="3">
        <v>41</v>
      </c>
      <c r="F57" s="3">
        <f t="shared" si="4"/>
        <v>1353</v>
      </c>
      <c r="G57" s="6">
        <v>0.42</v>
      </c>
      <c r="H57" s="11">
        <f>Tblsales[[#This Row],[Gross Sales]]*(1-Tblsales[[#This Row],[Discount]])</f>
        <v>784.74000000000012</v>
      </c>
      <c r="I57" s="11">
        <f>Tblsales[[#This Row],[Gross Sales]]*Tblsales[[#This Row],[Discount]]</f>
        <v>568.26</v>
      </c>
      <c r="J57" s="3">
        <v>19.68</v>
      </c>
      <c r="K57" s="3">
        <f>Tblsales[[#This Row],[Cost_per_unit]]*Tblsales[[#This Row],[Units]]</f>
        <v>649.43999999999994</v>
      </c>
      <c r="L57" s="3">
        <f>Tblsales[[#This Row],[Gross Sales]]-Tblsales[[#This Row],[Units]]*Tblsales[[#This Row],[Cost_per_unit]]-Tblsales[[#This Row],[Gross Sales]]*Tblsales[[#This Row],[Discount]]</f>
        <v>135.30000000000007</v>
      </c>
      <c r="M57" s="3">
        <f>Tblsales[[#This Row],[Profit]]/Tblsales[[#This Row],[Net_Sales]]</f>
        <v>0.17241379310344834</v>
      </c>
      <c r="N57" s="2">
        <f>EOMONTH(Tblsales[[#This Row],[Date]],-1)+1</f>
        <v>44986</v>
      </c>
      <c r="O57" s="3" t="str">
        <f t="shared" si="3"/>
        <v>Stationery</v>
      </c>
    </row>
    <row r="58" spans="1:15" x14ac:dyDescent="0.3">
      <c r="A58" s="2">
        <v>44981</v>
      </c>
      <c r="B58" t="s">
        <v>15</v>
      </c>
      <c r="C58" t="s">
        <v>16</v>
      </c>
      <c r="D58">
        <v>94</v>
      </c>
      <c r="E58" s="3">
        <v>34</v>
      </c>
      <c r="F58" s="3">
        <f t="shared" si="4"/>
        <v>3196</v>
      </c>
      <c r="G58" s="6">
        <v>0.87</v>
      </c>
      <c r="H58" s="11">
        <f>Tblsales[[#This Row],[Gross Sales]]*(1-Tblsales[[#This Row],[Discount]])</f>
        <v>415.48</v>
      </c>
      <c r="I58" s="11">
        <f>Tblsales[[#This Row],[Gross Sales]]*Tblsales[[#This Row],[Discount]]</f>
        <v>2780.52</v>
      </c>
      <c r="J58" s="3">
        <v>18.700000000000003</v>
      </c>
      <c r="K58" s="3">
        <f>Tblsales[[#This Row],[Cost_per_unit]]*Tblsales[[#This Row],[Units]]</f>
        <v>1757.8000000000002</v>
      </c>
      <c r="L58" s="3">
        <f>Tblsales[[#This Row],[Gross Sales]]-Tblsales[[#This Row],[Units]]*Tblsales[[#This Row],[Cost_per_unit]]-Tblsales[[#This Row],[Gross Sales]]*Tblsales[[#This Row],[Discount]]</f>
        <v>-1342.3200000000002</v>
      </c>
      <c r="M58" s="3">
        <f>Tblsales[[#This Row],[Profit]]/Tblsales[[#This Row],[Net_Sales]]</f>
        <v>-3.2307692307692308</v>
      </c>
      <c r="N58" s="2">
        <f>EOMONTH(Tblsales[[#This Row],[Date]],-1)+1</f>
        <v>44958</v>
      </c>
      <c r="O58" s="3" t="str">
        <f t="shared" si="3"/>
        <v>Sports</v>
      </c>
    </row>
    <row r="59" spans="1:15" x14ac:dyDescent="0.3">
      <c r="A59" s="2">
        <v>45012</v>
      </c>
      <c r="B59" t="s">
        <v>8</v>
      </c>
      <c r="C59" t="s">
        <v>16</v>
      </c>
      <c r="D59">
        <v>137</v>
      </c>
      <c r="E59" s="3">
        <v>52</v>
      </c>
      <c r="F59" s="3">
        <f t="shared" si="4"/>
        <v>7124</v>
      </c>
      <c r="G59" s="6">
        <v>0.73</v>
      </c>
      <c r="H59" s="11">
        <f>Tblsales[[#This Row],[Gross Sales]]*(1-Tblsales[[#This Row],[Discount]])</f>
        <v>1923.48</v>
      </c>
      <c r="I59" s="11">
        <f>Tblsales[[#This Row],[Gross Sales]]*Tblsales[[#This Row],[Discount]]</f>
        <v>5200.5199999999995</v>
      </c>
      <c r="J59" s="3">
        <v>18.72</v>
      </c>
      <c r="K59" s="3">
        <f>Tblsales[[#This Row],[Cost_per_unit]]*Tblsales[[#This Row],[Units]]</f>
        <v>2564.64</v>
      </c>
      <c r="L59" s="3">
        <f>Tblsales[[#This Row],[Gross Sales]]-Tblsales[[#This Row],[Units]]*Tblsales[[#This Row],[Cost_per_unit]]-Tblsales[[#This Row],[Gross Sales]]*Tblsales[[#This Row],[Discount]]</f>
        <v>-641.15999999999894</v>
      </c>
      <c r="M59" s="3">
        <f>Tblsales[[#This Row],[Profit]]/Tblsales[[#This Row],[Net_Sales]]</f>
        <v>-0.33333333333333276</v>
      </c>
      <c r="N59" s="2">
        <f>EOMONTH(Tblsales[[#This Row],[Date]],-1)+1</f>
        <v>44986</v>
      </c>
      <c r="O59" s="3" t="str">
        <f t="shared" si="3"/>
        <v>Sports</v>
      </c>
    </row>
    <row r="60" spans="1:15" x14ac:dyDescent="0.3">
      <c r="A60" s="2">
        <v>45003</v>
      </c>
      <c r="B60" t="s">
        <v>8</v>
      </c>
      <c r="C60" t="s">
        <v>19</v>
      </c>
      <c r="D60">
        <v>81</v>
      </c>
      <c r="E60" s="3">
        <v>60</v>
      </c>
      <c r="F60" s="3">
        <f t="shared" si="4"/>
        <v>4860</v>
      </c>
      <c r="G60" s="6">
        <v>0.28999999999999998</v>
      </c>
      <c r="H60" s="11">
        <f>Tblsales[[#This Row],[Gross Sales]]*(1-Tblsales[[#This Row],[Discount]])</f>
        <v>3450.6</v>
      </c>
      <c r="I60" s="11">
        <f>Tblsales[[#This Row],[Gross Sales]]*Tblsales[[#This Row],[Discount]]</f>
        <v>1409.3999999999999</v>
      </c>
      <c r="J60" s="3">
        <v>14.399999999999999</v>
      </c>
      <c r="K60" s="3">
        <f>Tblsales[[#This Row],[Cost_per_unit]]*Tblsales[[#This Row],[Units]]</f>
        <v>1166.3999999999999</v>
      </c>
      <c r="L60" s="3">
        <f>Tblsales[[#This Row],[Gross Sales]]-Tblsales[[#This Row],[Units]]*Tblsales[[#This Row],[Cost_per_unit]]-Tblsales[[#This Row],[Gross Sales]]*Tblsales[[#This Row],[Discount]]</f>
        <v>2284.2000000000007</v>
      </c>
      <c r="M60" s="3">
        <f>Tblsales[[#This Row],[Profit]]/Tblsales[[#This Row],[Net_Sales]]</f>
        <v>0.66197183098591572</v>
      </c>
      <c r="N60" s="2">
        <f>EOMONTH(Tblsales[[#This Row],[Date]],-1)+1</f>
        <v>44986</v>
      </c>
      <c r="O60" s="3" t="str">
        <f t="shared" si="3"/>
        <v>Sports</v>
      </c>
    </row>
    <row r="61" spans="1:15" x14ac:dyDescent="0.3">
      <c r="A61" s="2">
        <v>44938</v>
      </c>
      <c r="B61" t="s">
        <v>9</v>
      </c>
      <c r="C61" t="s">
        <v>10</v>
      </c>
      <c r="D61">
        <v>187</v>
      </c>
      <c r="E61" s="3">
        <v>46</v>
      </c>
      <c r="F61" s="3">
        <f t="shared" si="4"/>
        <v>8602</v>
      </c>
      <c r="G61" s="6">
        <v>0.71</v>
      </c>
      <c r="H61" s="11">
        <f>Tblsales[[#This Row],[Gross Sales]]*(1-Tblsales[[#This Row],[Discount]])</f>
        <v>2494.5800000000004</v>
      </c>
      <c r="I61" s="11">
        <f>Tblsales[[#This Row],[Gross Sales]]*Tblsales[[#This Row],[Discount]]</f>
        <v>6107.42</v>
      </c>
      <c r="J61" s="3">
        <v>23</v>
      </c>
      <c r="K61" s="3">
        <f>Tblsales[[#This Row],[Cost_per_unit]]*Tblsales[[#This Row],[Units]]</f>
        <v>4301</v>
      </c>
      <c r="L61" s="3">
        <f>Tblsales[[#This Row],[Gross Sales]]-Tblsales[[#This Row],[Units]]*Tblsales[[#This Row],[Cost_per_unit]]-Tblsales[[#This Row],[Gross Sales]]*Tblsales[[#This Row],[Discount]]</f>
        <v>-1806.42</v>
      </c>
      <c r="M61" s="3">
        <f>Tblsales[[#This Row],[Profit]]/Tblsales[[#This Row],[Net_Sales]]</f>
        <v>-0.72413793103448265</v>
      </c>
      <c r="N61" s="2">
        <f>EOMONTH(Tblsales[[#This Row],[Date]],-1)+1</f>
        <v>44927</v>
      </c>
      <c r="O61" s="3" t="str">
        <f t="shared" si="3"/>
        <v>Sports</v>
      </c>
    </row>
    <row r="62" spans="1:15" x14ac:dyDescent="0.3">
      <c r="A62" s="2">
        <v>44948</v>
      </c>
      <c r="B62" t="s">
        <v>15</v>
      </c>
      <c r="C62" t="s">
        <v>20</v>
      </c>
      <c r="D62">
        <v>75</v>
      </c>
      <c r="E62" s="3">
        <v>45</v>
      </c>
      <c r="F62" s="3">
        <f t="shared" si="4"/>
        <v>3375</v>
      </c>
      <c r="G62" s="6">
        <v>0.36</v>
      </c>
      <c r="H62" s="11">
        <f>Tblsales[[#This Row],[Gross Sales]]*(1-Tblsales[[#This Row],[Discount]])</f>
        <v>2160</v>
      </c>
      <c r="I62" s="11">
        <f>Tblsales[[#This Row],[Gross Sales]]*Tblsales[[#This Row],[Discount]]</f>
        <v>1215</v>
      </c>
      <c r="J62" s="3">
        <v>24.3</v>
      </c>
      <c r="K62" s="3">
        <f>Tblsales[[#This Row],[Cost_per_unit]]*Tblsales[[#This Row],[Units]]</f>
        <v>1822.5</v>
      </c>
      <c r="L62" s="3">
        <f>Tblsales[[#This Row],[Gross Sales]]-Tblsales[[#This Row],[Units]]*Tblsales[[#This Row],[Cost_per_unit]]-Tblsales[[#This Row],[Gross Sales]]*Tblsales[[#This Row],[Discount]]</f>
        <v>337.5</v>
      </c>
      <c r="M62" s="3">
        <f>Tblsales[[#This Row],[Profit]]/Tblsales[[#This Row],[Net_Sales]]</f>
        <v>0.15625</v>
      </c>
      <c r="N62" s="2">
        <f>EOMONTH(Tblsales[[#This Row],[Date]],-1)+1</f>
        <v>44927</v>
      </c>
      <c r="O62" s="3" t="str">
        <f t="shared" si="3"/>
        <v>Accessories</v>
      </c>
    </row>
    <row r="63" spans="1:15" x14ac:dyDescent="0.3">
      <c r="A63" s="2">
        <v>44951</v>
      </c>
      <c r="B63" t="s">
        <v>14</v>
      </c>
      <c r="C63" t="s">
        <v>4</v>
      </c>
      <c r="D63">
        <v>92</v>
      </c>
      <c r="E63" s="3">
        <v>87</v>
      </c>
      <c r="F63" s="3">
        <f t="shared" si="4"/>
        <v>8004</v>
      </c>
      <c r="G63" s="6">
        <v>0.46</v>
      </c>
      <c r="H63" s="11">
        <f>Tblsales[[#This Row],[Gross Sales]]*(1-Tblsales[[#This Row],[Discount]])</f>
        <v>4322.16</v>
      </c>
      <c r="I63" s="11">
        <f>Tblsales[[#This Row],[Gross Sales]]*Tblsales[[#This Row],[Discount]]</f>
        <v>3681.84</v>
      </c>
      <c r="J63" s="3">
        <v>29.58</v>
      </c>
      <c r="K63" s="3">
        <f>Tblsales[[#This Row],[Cost_per_unit]]*Tblsales[[#This Row],[Units]]</f>
        <v>2721.3599999999997</v>
      </c>
      <c r="L63" s="3">
        <f>Tblsales[[#This Row],[Gross Sales]]-Tblsales[[#This Row],[Units]]*Tblsales[[#This Row],[Cost_per_unit]]-Tblsales[[#This Row],[Gross Sales]]*Tblsales[[#This Row],[Discount]]</f>
        <v>1600.8000000000002</v>
      </c>
      <c r="M63" s="3">
        <f>Tblsales[[#This Row],[Profit]]/Tblsales[[#This Row],[Net_Sales]]</f>
        <v>0.37037037037037041</v>
      </c>
      <c r="N63" s="2">
        <f>EOMONTH(Tblsales[[#This Row],[Date]],-1)+1</f>
        <v>44927</v>
      </c>
      <c r="O63" s="3" t="str">
        <f t="shared" si="3"/>
        <v>Stationery</v>
      </c>
    </row>
    <row r="64" spans="1:15" x14ac:dyDescent="0.3">
      <c r="A64" s="2">
        <v>44973</v>
      </c>
      <c r="B64" t="s">
        <v>9</v>
      </c>
      <c r="C64" t="s">
        <v>20</v>
      </c>
      <c r="D64">
        <v>31</v>
      </c>
      <c r="E64" s="3">
        <v>31</v>
      </c>
      <c r="F64" s="3">
        <f t="shared" si="4"/>
        <v>961</v>
      </c>
      <c r="G64" s="6">
        <v>0.27</v>
      </c>
      <c r="H64" s="11">
        <f>Tblsales[[#This Row],[Gross Sales]]*(1-Tblsales[[#This Row],[Discount]])</f>
        <v>701.53</v>
      </c>
      <c r="I64" s="11">
        <f>Tblsales[[#This Row],[Gross Sales]]*Tblsales[[#This Row],[Discount]]</f>
        <v>259.47000000000003</v>
      </c>
      <c r="J64" s="3">
        <v>11.16</v>
      </c>
      <c r="K64" s="3">
        <f>Tblsales[[#This Row],[Cost_per_unit]]*Tblsales[[#This Row],[Units]]</f>
        <v>345.96</v>
      </c>
      <c r="L64" s="3">
        <f>Tblsales[[#This Row],[Gross Sales]]-Tblsales[[#This Row],[Units]]*Tblsales[[#This Row],[Cost_per_unit]]-Tblsales[[#This Row],[Gross Sales]]*Tblsales[[#This Row],[Discount]]</f>
        <v>355.56999999999994</v>
      </c>
      <c r="M64" s="3">
        <f>Tblsales[[#This Row],[Profit]]/Tblsales[[#This Row],[Net_Sales]]</f>
        <v>0.50684931506849307</v>
      </c>
      <c r="N64" s="2">
        <f>EOMONTH(Tblsales[[#This Row],[Date]],-1)+1</f>
        <v>44958</v>
      </c>
      <c r="O64" s="3" t="str">
        <f t="shared" si="3"/>
        <v>Accessories</v>
      </c>
    </row>
    <row r="65" spans="1:15" x14ac:dyDescent="0.3">
      <c r="A65" s="2">
        <v>44981</v>
      </c>
      <c r="B65" t="s">
        <v>14</v>
      </c>
      <c r="C65" t="s">
        <v>10</v>
      </c>
      <c r="D65">
        <v>55</v>
      </c>
      <c r="E65" s="3">
        <v>90</v>
      </c>
      <c r="F65" s="3">
        <f t="shared" si="4"/>
        <v>4950</v>
      </c>
      <c r="G65" s="6">
        <v>0.86</v>
      </c>
      <c r="H65" s="11">
        <f>Tblsales[[#This Row],[Gross Sales]]*(1-Tblsales[[#This Row],[Discount]])</f>
        <v>693.00000000000011</v>
      </c>
      <c r="I65" s="11">
        <f>Tblsales[[#This Row],[Gross Sales]]*Tblsales[[#This Row],[Discount]]</f>
        <v>4257</v>
      </c>
      <c r="J65" s="3">
        <v>17.999999999999996</v>
      </c>
      <c r="K65" s="3">
        <f>Tblsales[[#This Row],[Cost_per_unit]]*Tblsales[[#This Row],[Units]]</f>
        <v>989.99999999999977</v>
      </c>
      <c r="L65" s="3">
        <f>Tblsales[[#This Row],[Gross Sales]]-Tblsales[[#This Row],[Units]]*Tblsales[[#This Row],[Cost_per_unit]]-Tblsales[[#This Row],[Gross Sales]]*Tblsales[[#This Row],[Discount]]</f>
        <v>-297</v>
      </c>
      <c r="M65" s="3">
        <f>Tblsales[[#This Row],[Profit]]/Tblsales[[#This Row],[Net_Sales]]</f>
        <v>-0.42857142857142849</v>
      </c>
      <c r="N65" s="2">
        <f>EOMONTH(Tblsales[[#This Row],[Date]],-1)+1</f>
        <v>44958</v>
      </c>
      <c r="O65" s="3" t="str">
        <f t="shared" si="3"/>
        <v>Sports</v>
      </c>
    </row>
    <row r="66" spans="1:15" x14ac:dyDescent="0.3">
      <c r="A66" s="2">
        <v>45001</v>
      </c>
      <c r="B66" t="s">
        <v>9</v>
      </c>
      <c r="C66" t="s">
        <v>6</v>
      </c>
      <c r="D66">
        <v>66</v>
      </c>
      <c r="E66" s="3">
        <v>54</v>
      </c>
      <c r="F66" s="3">
        <f t="shared" si="4"/>
        <v>3564</v>
      </c>
      <c r="G66" s="6">
        <v>0.7</v>
      </c>
      <c r="H66" s="11">
        <f>Tblsales[[#This Row],[Gross Sales]]*(1-Tblsales[[#This Row],[Discount]])</f>
        <v>1069.2</v>
      </c>
      <c r="I66" s="11">
        <f>Tblsales[[#This Row],[Gross Sales]]*Tblsales[[#This Row],[Discount]]</f>
        <v>2494.7999999999997</v>
      </c>
      <c r="J66" s="3">
        <v>32.4</v>
      </c>
      <c r="K66" s="3">
        <f>Tblsales[[#This Row],[Cost_per_unit]]*Tblsales[[#This Row],[Units]]</f>
        <v>2138.4</v>
      </c>
      <c r="L66" s="3">
        <f>Tblsales[[#This Row],[Gross Sales]]-Tblsales[[#This Row],[Units]]*Tblsales[[#This Row],[Cost_per_unit]]-Tblsales[[#This Row],[Gross Sales]]*Tblsales[[#This Row],[Discount]]</f>
        <v>-1069.1999999999998</v>
      </c>
      <c r="M66" s="3">
        <f>Tblsales[[#This Row],[Profit]]/Tblsales[[#This Row],[Net_Sales]]</f>
        <v>-0.99999999999999978</v>
      </c>
      <c r="N66" s="2">
        <f>EOMONTH(Tblsales[[#This Row],[Date]],-1)+1</f>
        <v>44986</v>
      </c>
      <c r="O66" s="3" t="str">
        <f t="shared" ref="O66:O97" si="5">IF(OR(C66="Notebook",C66="Pen",C66="Marker"),"Stationery",
 IF(OR(C66="File Folder",C66="Stapler",C66="Calculator",C66="Glue Stick"),"Accessories","Sports"))</f>
        <v>Stationery</v>
      </c>
    </row>
    <row r="67" spans="1:15" x14ac:dyDescent="0.3">
      <c r="A67" s="2">
        <v>44958</v>
      </c>
      <c r="B67" t="s">
        <v>9</v>
      </c>
      <c r="C67" t="s">
        <v>20</v>
      </c>
      <c r="D67">
        <v>120</v>
      </c>
      <c r="E67" s="3">
        <v>57</v>
      </c>
      <c r="F67" s="3">
        <f t="shared" si="4"/>
        <v>6840</v>
      </c>
      <c r="G67" s="6">
        <v>0.78</v>
      </c>
      <c r="H67" s="11">
        <f>Tblsales[[#This Row],[Gross Sales]]*(1-Tblsales[[#This Row],[Discount]])</f>
        <v>1504.7999999999997</v>
      </c>
      <c r="I67" s="11">
        <f>Tblsales[[#This Row],[Gross Sales]]*Tblsales[[#This Row],[Discount]]</f>
        <v>5335.2</v>
      </c>
      <c r="J67" s="3">
        <v>28.5</v>
      </c>
      <c r="K67" s="3">
        <f>Tblsales[[#This Row],[Cost_per_unit]]*Tblsales[[#This Row],[Units]]</f>
        <v>3420</v>
      </c>
      <c r="L67" s="3">
        <f>Tblsales[[#This Row],[Gross Sales]]-Tblsales[[#This Row],[Units]]*Tblsales[[#This Row],[Cost_per_unit]]-Tblsales[[#This Row],[Gross Sales]]*Tblsales[[#This Row],[Discount]]</f>
        <v>-1915.1999999999998</v>
      </c>
      <c r="M67" s="3">
        <f>Tblsales[[#This Row],[Profit]]/Tblsales[[#This Row],[Net_Sales]]</f>
        <v>-1.2727272727272729</v>
      </c>
      <c r="N67" s="2">
        <f>EOMONTH(Tblsales[[#This Row],[Date]],-1)+1</f>
        <v>44958</v>
      </c>
      <c r="O67" s="3" t="str">
        <f t="shared" si="5"/>
        <v>Accessories</v>
      </c>
    </row>
    <row r="68" spans="1:15" x14ac:dyDescent="0.3">
      <c r="A68" s="2">
        <v>44968</v>
      </c>
      <c r="B68" t="s">
        <v>14</v>
      </c>
      <c r="C68" t="s">
        <v>19</v>
      </c>
      <c r="D68">
        <v>43</v>
      </c>
      <c r="E68" s="3">
        <v>30</v>
      </c>
      <c r="F68" s="3">
        <f t="shared" si="4"/>
        <v>1290</v>
      </c>
      <c r="G68" s="6">
        <v>0.26</v>
      </c>
      <c r="H68" s="11">
        <f>Tblsales[[#This Row],[Gross Sales]]*(1-Tblsales[[#This Row],[Discount]])</f>
        <v>954.6</v>
      </c>
      <c r="I68" s="11">
        <f>Tblsales[[#This Row],[Gross Sales]]*Tblsales[[#This Row],[Discount]]</f>
        <v>335.40000000000003</v>
      </c>
      <c r="J68" s="3">
        <v>11.1</v>
      </c>
      <c r="K68" s="3">
        <f>Tblsales[[#This Row],[Cost_per_unit]]*Tblsales[[#This Row],[Units]]</f>
        <v>477.3</v>
      </c>
      <c r="L68" s="3">
        <f>Tblsales[[#This Row],[Gross Sales]]-Tblsales[[#This Row],[Units]]*Tblsales[[#This Row],[Cost_per_unit]]-Tblsales[[#This Row],[Gross Sales]]*Tblsales[[#This Row],[Discount]]</f>
        <v>477.3</v>
      </c>
      <c r="M68" s="3">
        <f>Tblsales[[#This Row],[Profit]]/Tblsales[[#This Row],[Net_Sales]]</f>
        <v>0.5</v>
      </c>
      <c r="N68" s="2">
        <f>EOMONTH(Tblsales[[#This Row],[Date]],-1)+1</f>
        <v>44958</v>
      </c>
      <c r="O68" s="3" t="str">
        <f t="shared" si="5"/>
        <v>Sports</v>
      </c>
    </row>
    <row r="69" spans="1:15" x14ac:dyDescent="0.3">
      <c r="A69" s="2">
        <v>44999</v>
      </c>
      <c r="B69" t="s">
        <v>15</v>
      </c>
      <c r="C69" t="s">
        <v>16</v>
      </c>
      <c r="D69">
        <v>27</v>
      </c>
      <c r="E69" s="3">
        <v>88</v>
      </c>
      <c r="F69" s="3">
        <f t="shared" si="4"/>
        <v>2376</v>
      </c>
      <c r="G69" s="6">
        <v>0.26</v>
      </c>
      <c r="H69" s="11">
        <f>Tblsales[[#This Row],[Gross Sales]]*(1-Tblsales[[#This Row],[Discount]])</f>
        <v>1758.24</v>
      </c>
      <c r="I69" s="11">
        <f>Tblsales[[#This Row],[Gross Sales]]*Tblsales[[#This Row],[Discount]]</f>
        <v>617.76</v>
      </c>
      <c r="J69" s="3">
        <v>50.160000000000004</v>
      </c>
      <c r="K69" s="3">
        <f>Tblsales[[#This Row],[Cost_per_unit]]*Tblsales[[#This Row],[Units]]</f>
        <v>1354.3200000000002</v>
      </c>
      <c r="L69" s="3">
        <f>Tblsales[[#This Row],[Gross Sales]]-Tblsales[[#This Row],[Units]]*Tblsales[[#This Row],[Cost_per_unit]]-Tblsales[[#This Row],[Gross Sales]]*Tblsales[[#This Row],[Discount]]</f>
        <v>403.91999999999985</v>
      </c>
      <c r="M69" s="3">
        <f>Tblsales[[#This Row],[Profit]]/Tblsales[[#This Row],[Net_Sales]]</f>
        <v>0.22972972972972963</v>
      </c>
      <c r="N69" s="2">
        <f>EOMONTH(Tblsales[[#This Row],[Date]],-1)+1</f>
        <v>44986</v>
      </c>
      <c r="O69" s="3" t="str">
        <f t="shared" si="5"/>
        <v>Sports</v>
      </c>
    </row>
    <row r="70" spans="1:15" x14ac:dyDescent="0.3">
      <c r="A70" s="2">
        <v>44974</v>
      </c>
      <c r="B70" t="s">
        <v>8</v>
      </c>
      <c r="C70" t="s">
        <v>4</v>
      </c>
      <c r="D70">
        <v>39</v>
      </c>
      <c r="E70" s="3">
        <v>32</v>
      </c>
      <c r="F70" s="3">
        <f t="shared" si="4"/>
        <v>1248</v>
      </c>
      <c r="G70" s="6">
        <v>0.77</v>
      </c>
      <c r="H70" s="11">
        <f>Tblsales[[#This Row],[Gross Sales]]*(1-Tblsales[[#This Row],[Discount]])</f>
        <v>287.03999999999996</v>
      </c>
      <c r="I70" s="11">
        <f>Tblsales[[#This Row],[Gross Sales]]*Tblsales[[#This Row],[Discount]]</f>
        <v>960.96</v>
      </c>
      <c r="J70" s="3">
        <v>20.16</v>
      </c>
      <c r="K70" s="3">
        <f>Tblsales[[#This Row],[Cost_per_unit]]*Tblsales[[#This Row],[Units]]</f>
        <v>786.24</v>
      </c>
      <c r="L70" s="3">
        <f>Tblsales[[#This Row],[Gross Sales]]-Tblsales[[#This Row],[Units]]*Tblsales[[#This Row],[Cost_per_unit]]-Tblsales[[#This Row],[Gross Sales]]*Tblsales[[#This Row],[Discount]]</f>
        <v>-499.20000000000005</v>
      </c>
      <c r="M70" s="3">
        <f>Tblsales[[#This Row],[Profit]]/Tblsales[[#This Row],[Net_Sales]]</f>
        <v>-1.7391304347826091</v>
      </c>
      <c r="N70" s="2">
        <f>EOMONTH(Tblsales[[#This Row],[Date]],-1)+1</f>
        <v>44958</v>
      </c>
      <c r="O70" s="3" t="str">
        <f t="shared" si="5"/>
        <v>Stationery</v>
      </c>
    </row>
    <row r="71" spans="1:15" x14ac:dyDescent="0.3">
      <c r="A71" s="2">
        <v>44971</v>
      </c>
      <c r="B71" t="s">
        <v>9</v>
      </c>
      <c r="C71" t="s">
        <v>6</v>
      </c>
      <c r="D71">
        <v>124</v>
      </c>
      <c r="E71" s="3">
        <v>51</v>
      </c>
      <c r="F71" s="3">
        <f t="shared" si="4"/>
        <v>6324</v>
      </c>
      <c r="G71" s="6">
        <v>0.81</v>
      </c>
      <c r="H71" s="11">
        <f>Tblsales[[#This Row],[Gross Sales]]*(1-Tblsales[[#This Row],[Discount]])</f>
        <v>1201.5599999999997</v>
      </c>
      <c r="I71" s="11">
        <f>Tblsales[[#This Row],[Gross Sales]]*Tblsales[[#This Row],[Discount]]</f>
        <v>5122.4400000000005</v>
      </c>
      <c r="J71" s="3">
        <v>13.770000000000001</v>
      </c>
      <c r="K71" s="3">
        <f>Tblsales[[#This Row],[Cost_per_unit]]*Tblsales[[#This Row],[Units]]</f>
        <v>1707.4800000000002</v>
      </c>
      <c r="L71" s="3">
        <f>Tblsales[[#This Row],[Gross Sales]]-Tblsales[[#This Row],[Units]]*Tblsales[[#This Row],[Cost_per_unit]]-Tblsales[[#This Row],[Gross Sales]]*Tblsales[[#This Row],[Discount]]</f>
        <v>-505.92000000000098</v>
      </c>
      <c r="M71" s="3">
        <f>Tblsales[[#This Row],[Profit]]/Tblsales[[#This Row],[Net_Sales]]</f>
        <v>-0.42105263157894829</v>
      </c>
      <c r="N71" s="2">
        <f>EOMONTH(Tblsales[[#This Row],[Date]],-1)+1</f>
        <v>44958</v>
      </c>
      <c r="O71" s="3" t="str">
        <f t="shared" si="5"/>
        <v>Stationery</v>
      </c>
    </row>
    <row r="72" spans="1:15" x14ac:dyDescent="0.3">
      <c r="A72" s="2">
        <v>45015</v>
      </c>
      <c r="B72" t="s">
        <v>9</v>
      </c>
      <c r="C72" t="s">
        <v>17</v>
      </c>
      <c r="D72">
        <v>34</v>
      </c>
      <c r="E72" s="3">
        <v>62</v>
      </c>
      <c r="F72" s="3">
        <f t="shared" si="4"/>
        <v>2108</v>
      </c>
      <c r="G72" s="6">
        <v>0.66</v>
      </c>
      <c r="H72" s="11">
        <f>Tblsales[[#This Row],[Gross Sales]]*(1-Tblsales[[#This Row],[Discount]])</f>
        <v>716.71999999999991</v>
      </c>
      <c r="I72" s="11">
        <f>Tblsales[[#This Row],[Gross Sales]]*Tblsales[[#This Row],[Discount]]</f>
        <v>1391.28</v>
      </c>
      <c r="J72" s="3">
        <v>21.7</v>
      </c>
      <c r="K72" s="3">
        <f>Tblsales[[#This Row],[Cost_per_unit]]*Tblsales[[#This Row],[Units]]</f>
        <v>737.8</v>
      </c>
      <c r="L72" s="3">
        <f>Tblsales[[#This Row],[Gross Sales]]-Tblsales[[#This Row],[Units]]*Tblsales[[#This Row],[Cost_per_unit]]-Tblsales[[#This Row],[Gross Sales]]*Tblsales[[#This Row],[Discount]]</f>
        <v>-21.079999999999927</v>
      </c>
      <c r="M72" s="3">
        <f>Tblsales[[#This Row],[Profit]]/Tblsales[[#This Row],[Net_Sales]]</f>
        <v>-2.9411764705882255E-2</v>
      </c>
      <c r="N72" s="2">
        <f>EOMONTH(Tblsales[[#This Row],[Date]],-1)+1</f>
        <v>44986</v>
      </c>
      <c r="O72" s="3" t="str">
        <f t="shared" si="5"/>
        <v>Accessories</v>
      </c>
    </row>
    <row r="73" spans="1:15" x14ac:dyDescent="0.3">
      <c r="A73" s="2">
        <v>44985</v>
      </c>
      <c r="B73" t="s">
        <v>8</v>
      </c>
      <c r="C73" t="s">
        <v>16</v>
      </c>
      <c r="D73">
        <v>158</v>
      </c>
      <c r="E73" s="3">
        <v>71</v>
      </c>
      <c r="F73" s="3">
        <f t="shared" si="4"/>
        <v>11218</v>
      </c>
      <c r="G73" s="6">
        <v>0.73</v>
      </c>
      <c r="H73" s="11">
        <f>Tblsales[[#This Row],[Gross Sales]]*(1-Tblsales[[#This Row],[Discount]])</f>
        <v>3028.86</v>
      </c>
      <c r="I73" s="11">
        <f>Tblsales[[#This Row],[Gross Sales]]*Tblsales[[#This Row],[Discount]]</f>
        <v>8189.1399999999994</v>
      </c>
      <c r="J73" s="3">
        <v>36.92</v>
      </c>
      <c r="K73" s="3">
        <f>Tblsales[[#This Row],[Cost_per_unit]]*Tblsales[[#This Row],[Units]]</f>
        <v>5833.3600000000006</v>
      </c>
      <c r="L73" s="3">
        <f>Tblsales[[#This Row],[Gross Sales]]-Tblsales[[#This Row],[Units]]*Tblsales[[#This Row],[Cost_per_unit]]-Tblsales[[#This Row],[Gross Sales]]*Tblsales[[#This Row],[Discount]]</f>
        <v>-2804.5</v>
      </c>
      <c r="M73" s="3">
        <f>Tblsales[[#This Row],[Profit]]/Tblsales[[#This Row],[Net_Sales]]</f>
        <v>-0.92592592592592593</v>
      </c>
      <c r="N73" s="2">
        <f>EOMONTH(Tblsales[[#This Row],[Date]],-1)+1</f>
        <v>44958</v>
      </c>
      <c r="O73" s="3" t="str">
        <f t="shared" si="5"/>
        <v>Sports</v>
      </c>
    </row>
    <row r="74" spans="1:15" x14ac:dyDescent="0.3">
      <c r="A74" s="2">
        <v>44985</v>
      </c>
      <c r="B74" t="s">
        <v>9</v>
      </c>
      <c r="C74" t="s">
        <v>5</v>
      </c>
      <c r="D74">
        <v>131</v>
      </c>
      <c r="E74" s="3">
        <v>48</v>
      </c>
      <c r="F74" s="3">
        <f t="shared" si="4"/>
        <v>6288</v>
      </c>
      <c r="G74" s="6">
        <v>0.37</v>
      </c>
      <c r="H74" s="11">
        <f>Tblsales[[#This Row],[Gross Sales]]*(1-Tblsales[[#This Row],[Discount]])</f>
        <v>3961.44</v>
      </c>
      <c r="I74" s="11">
        <f>Tblsales[[#This Row],[Gross Sales]]*Tblsales[[#This Row],[Discount]]</f>
        <v>2326.56</v>
      </c>
      <c r="J74" s="3">
        <v>21.119999999999997</v>
      </c>
      <c r="K74" s="3">
        <f>Tblsales[[#This Row],[Cost_per_unit]]*Tblsales[[#This Row],[Units]]</f>
        <v>2766.72</v>
      </c>
      <c r="L74" s="3">
        <f>Tblsales[[#This Row],[Gross Sales]]-Tblsales[[#This Row],[Units]]*Tblsales[[#This Row],[Cost_per_unit]]-Tblsales[[#This Row],[Gross Sales]]*Tblsales[[#This Row],[Discount]]</f>
        <v>1194.7200000000003</v>
      </c>
      <c r="M74" s="3">
        <f>Tblsales[[#This Row],[Profit]]/Tblsales[[#This Row],[Net_Sales]]</f>
        <v>0.30158730158730163</v>
      </c>
      <c r="N74" s="2">
        <f>EOMONTH(Tblsales[[#This Row],[Date]],-1)+1</f>
        <v>44958</v>
      </c>
      <c r="O74" s="3" t="str">
        <f t="shared" si="5"/>
        <v>Stationery</v>
      </c>
    </row>
    <row r="75" spans="1:15" x14ac:dyDescent="0.3">
      <c r="A75" s="2">
        <v>44933</v>
      </c>
      <c r="B75" t="s">
        <v>9</v>
      </c>
      <c r="C75" t="s">
        <v>20</v>
      </c>
      <c r="D75">
        <v>75</v>
      </c>
      <c r="E75" s="3">
        <v>42</v>
      </c>
      <c r="F75" s="3">
        <f t="shared" si="4"/>
        <v>3150</v>
      </c>
      <c r="G75" s="6">
        <v>0.56000000000000005</v>
      </c>
      <c r="H75" s="11">
        <f>Tblsales[[#This Row],[Gross Sales]]*(1-Tblsales[[#This Row],[Discount]])</f>
        <v>1385.9999999999998</v>
      </c>
      <c r="I75" s="11">
        <f>Tblsales[[#This Row],[Gross Sales]]*Tblsales[[#This Row],[Discount]]</f>
        <v>1764.0000000000002</v>
      </c>
      <c r="J75" s="3">
        <v>5.04</v>
      </c>
      <c r="K75" s="3">
        <f>Tblsales[[#This Row],[Cost_per_unit]]*Tblsales[[#This Row],[Units]]</f>
        <v>378</v>
      </c>
      <c r="L75" s="3">
        <f>Tblsales[[#This Row],[Gross Sales]]-Tblsales[[#This Row],[Units]]*Tblsales[[#This Row],[Cost_per_unit]]-Tblsales[[#This Row],[Gross Sales]]*Tblsales[[#This Row],[Discount]]</f>
        <v>1007.9999999999998</v>
      </c>
      <c r="M75" s="3">
        <f>Tblsales[[#This Row],[Profit]]/Tblsales[[#This Row],[Net_Sales]]</f>
        <v>0.72727272727272718</v>
      </c>
      <c r="N75" s="2">
        <f>EOMONTH(Tblsales[[#This Row],[Date]],-1)+1</f>
        <v>44927</v>
      </c>
      <c r="O75" s="3" t="str">
        <f t="shared" si="5"/>
        <v>Accessories</v>
      </c>
    </row>
    <row r="76" spans="1:15" x14ac:dyDescent="0.3">
      <c r="A76" s="2">
        <v>44980</v>
      </c>
      <c r="B76" t="s">
        <v>8</v>
      </c>
      <c r="C76" t="s">
        <v>18</v>
      </c>
      <c r="D76">
        <v>79</v>
      </c>
      <c r="E76" s="3">
        <v>36</v>
      </c>
      <c r="F76" s="3">
        <f t="shared" si="4"/>
        <v>2844</v>
      </c>
      <c r="G76" s="6">
        <v>0.27</v>
      </c>
      <c r="H76" s="11">
        <f>Tblsales[[#This Row],[Gross Sales]]*(1-Tblsales[[#This Row],[Discount]])</f>
        <v>2076.12</v>
      </c>
      <c r="I76" s="11">
        <f>Tblsales[[#This Row],[Gross Sales]]*Tblsales[[#This Row],[Discount]]</f>
        <v>767.88</v>
      </c>
      <c r="J76" s="3">
        <v>13.68</v>
      </c>
      <c r="K76" s="3">
        <f>Tblsales[[#This Row],[Cost_per_unit]]*Tblsales[[#This Row],[Units]]</f>
        <v>1080.72</v>
      </c>
      <c r="L76" s="3">
        <f>Tblsales[[#This Row],[Gross Sales]]-Tblsales[[#This Row],[Units]]*Tblsales[[#This Row],[Cost_per_unit]]-Tblsales[[#This Row],[Gross Sales]]*Tblsales[[#This Row],[Discount]]</f>
        <v>995.4</v>
      </c>
      <c r="M76" s="3">
        <f>Tblsales[[#This Row],[Profit]]/Tblsales[[#This Row],[Net_Sales]]</f>
        <v>0.47945205479452058</v>
      </c>
      <c r="N76" s="2">
        <f>EOMONTH(Tblsales[[#This Row],[Date]],-1)+1</f>
        <v>44958</v>
      </c>
      <c r="O76" s="3" t="str">
        <f t="shared" si="5"/>
        <v>Accessories</v>
      </c>
    </row>
    <row r="77" spans="1:15" x14ac:dyDescent="0.3">
      <c r="A77" s="2">
        <v>45006</v>
      </c>
      <c r="B77" t="s">
        <v>15</v>
      </c>
      <c r="C77" t="s">
        <v>10</v>
      </c>
      <c r="D77">
        <v>164</v>
      </c>
      <c r="E77" s="3">
        <v>36</v>
      </c>
      <c r="F77" s="3">
        <f t="shared" si="4"/>
        <v>5904</v>
      </c>
      <c r="G77" s="6">
        <v>0.68</v>
      </c>
      <c r="H77" s="11">
        <f>Tblsales[[#This Row],[Gross Sales]]*(1-Tblsales[[#This Row],[Discount]])</f>
        <v>1889.2799999999997</v>
      </c>
      <c r="I77" s="11">
        <f>Tblsales[[#This Row],[Gross Sales]]*Tblsales[[#This Row],[Discount]]</f>
        <v>4014.7200000000003</v>
      </c>
      <c r="J77" s="3">
        <v>21.599999999999998</v>
      </c>
      <c r="K77" s="3">
        <f>Tblsales[[#This Row],[Cost_per_unit]]*Tblsales[[#This Row],[Units]]</f>
        <v>3542.3999999999996</v>
      </c>
      <c r="L77" s="3">
        <f>Tblsales[[#This Row],[Gross Sales]]-Tblsales[[#This Row],[Units]]*Tblsales[[#This Row],[Cost_per_unit]]-Tblsales[[#This Row],[Gross Sales]]*Tblsales[[#This Row],[Discount]]</f>
        <v>-1653.12</v>
      </c>
      <c r="M77" s="3">
        <f>Tblsales[[#This Row],[Profit]]/Tblsales[[#This Row],[Net_Sales]]</f>
        <v>-0.87500000000000011</v>
      </c>
      <c r="N77" s="2">
        <f>EOMONTH(Tblsales[[#This Row],[Date]],-1)+1</f>
        <v>44986</v>
      </c>
      <c r="O77" s="3" t="str">
        <f t="shared" si="5"/>
        <v>Sports</v>
      </c>
    </row>
    <row r="78" spans="1:15" x14ac:dyDescent="0.3">
      <c r="A78" s="2">
        <v>44957</v>
      </c>
      <c r="B78" t="s">
        <v>15</v>
      </c>
      <c r="C78" t="s">
        <v>21</v>
      </c>
      <c r="D78">
        <v>179</v>
      </c>
      <c r="E78" s="3">
        <v>43</v>
      </c>
      <c r="F78" s="3">
        <f t="shared" si="4"/>
        <v>7697</v>
      </c>
      <c r="G78" s="6">
        <v>0.83</v>
      </c>
      <c r="H78" s="11">
        <f>Tblsales[[#This Row],[Gross Sales]]*(1-Tblsales[[#This Row],[Discount]])</f>
        <v>1308.4900000000002</v>
      </c>
      <c r="I78" s="11">
        <f>Tblsales[[#This Row],[Gross Sales]]*Tblsales[[#This Row],[Discount]]</f>
        <v>6388.5099999999993</v>
      </c>
      <c r="J78" s="3">
        <v>4.7299999999999995</v>
      </c>
      <c r="K78" s="3">
        <f>Tblsales[[#This Row],[Cost_per_unit]]*Tblsales[[#This Row],[Units]]</f>
        <v>846.67</v>
      </c>
      <c r="L78" s="3">
        <f>Tblsales[[#This Row],[Gross Sales]]-Tblsales[[#This Row],[Units]]*Tblsales[[#This Row],[Cost_per_unit]]-Tblsales[[#This Row],[Gross Sales]]*Tblsales[[#This Row],[Discount]]</f>
        <v>461.82000000000062</v>
      </c>
      <c r="M78" s="3">
        <f>Tblsales[[#This Row],[Profit]]/Tblsales[[#This Row],[Net_Sales]]</f>
        <v>0.35294117647058865</v>
      </c>
      <c r="N78" s="2">
        <f>EOMONTH(Tblsales[[#This Row],[Date]],-1)+1</f>
        <v>44927</v>
      </c>
      <c r="O78" s="3" t="str">
        <f t="shared" si="5"/>
        <v>Accessories</v>
      </c>
    </row>
    <row r="79" spans="1:15" x14ac:dyDescent="0.3">
      <c r="A79" s="2">
        <v>44968</v>
      </c>
      <c r="B79" t="s">
        <v>14</v>
      </c>
      <c r="C79" t="s">
        <v>17</v>
      </c>
      <c r="D79">
        <v>195</v>
      </c>
      <c r="E79" s="3">
        <v>55</v>
      </c>
      <c r="F79" s="3">
        <f t="shared" si="4"/>
        <v>10725</v>
      </c>
      <c r="G79" s="6">
        <v>0.44</v>
      </c>
      <c r="H79" s="11">
        <f>Tblsales[[#This Row],[Gross Sales]]*(1-Tblsales[[#This Row],[Discount]])</f>
        <v>6006.0000000000009</v>
      </c>
      <c r="I79" s="11">
        <f>Tblsales[[#This Row],[Gross Sales]]*Tblsales[[#This Row],[Discount]]</f>
        <v>4719</v>
      </c>
      <c r="J79" s="3">
        <v>35.200000000000003</v>
      </c>
      <c r="K79" s="3">
        <f>Tblsales[[#This Row],[Cost_per_unit]]*Tblsales[[#This Row],[Units]]</f>
        <v>6864.0000000000009</v>
      </c>
      <c r="L79" s="3">
        <f>Tblsales[[#This Row],[Gross Sales]]-Tblsales[[#This Row],[Units]]*Tblsales[[#This Row],[Cost_per_unit]]-Tblsales[[#This Row],[Gross Sales]]*Tblsales[[#This Row],[Discount]]</f>
        <v>-858.00000000000091</v>
      </c>
      <c r="M79" s="3">
        <f>Tblsales[[#This Row],[Profit]]/Tblsales[[#This Row],[Net_Sales]]</f>
        <v>-0.14285714285714299</v>
      </c>
      <c r="N79" s="2">
        <f>EOMONTH(Tblsales[[#This Row],[Date]],-1)+1</f>
        <v>44958</v>
      </c>
      <c r="O79" s="3" t="str">
        <f t="shared" si="5"/>
        <v>Accessories</v>
      </c>
    </row>
    <row r="80" spans="1:15" x14ac:dyDescent="0.3">
      <c r="A80" s="2">
        <v>45007</v>
      </c>
      <c r="B80" t="s">
        <v>14</v>
      </c>
      <c r="C80" t="s">
        <v>16</v>
      </c>
      <c r="D80">
        <v>159</v>
      </c>
      <c r="E80" s="3">
        <v>56</v>
      </c>
      <c r="F80" s="3">
        <f t="shared" si="4"/>
        <v>8904</v>
      </c>
      <c r="G80" s="6">
        <v>0.45</v>
      </c>
      <c r="H80" s="11">
        <f>Tblsales[[#This Row],[Gross Sales]]*(1-Tblsales[[#This Row],[Discount]])</f>
        <v>4897.2000000000007</v>
      </c>
      <c r="I80" s="11">
        <f>Tblsales[[#This Row],[Gross Sales]]*Tblsales[[#This Row],[Discount]]</f>
        <v>4006.8</v>
      </c>
      <c r="J80" s="3">
        <v>19.04</v>
      </c>
      <c r="K80" s="3">
        <f>Tblsales[[#This Row],[Cost_per_unit]]*Tblsales[[#This Row],[Units]]</f>
        <v>3027.3599999999997</v>
      </c>
      <c r="L80" s="3">
        <f>Tblsales[[#This Row],[Gross Sales]]-Tblsales[[#This Row],[Units]]*Tblsales[[#This Row],[Cost_per_unit]]-Tblsales[[#This Row],[Gross Sales]]*Tblsales[[#This Row],[Discount]]</f>
        <v>1869.8400000000001</v>
      </c>
      <c r="M80" s="3">
        <f>Tblsales[[#This Row],[Profit]]/Tblsales[[#This Row],[Net_Sales]]</f>
        <v>0.38181818181818178</v>
      </c>
      <c r="N80" s="2">
        <f>EOMONTH(Tblsales[[#This Row],[Date]],-1)+1</f>
        <v>44986</v>
      </c>
      <c r="O80" s="3" t="str">
        <f t="shared" si="5"/>
        <v>Sports</v>
      </c>
    </row>
    <row r="81" spans="1:15" x14ac:dyDescent="0.3">
      <c r="A81" s="2">
        <v>44936</v>
      </c>
      <c r="B81" t="s">
        <v>14</v>
      </c>
      <c r="C81" t="s">
        <v>16</v>
      </c>
      <c r="D81">
        <v>26</v>
      </c>
      <c r="E81" s="3">
        <v>89</v>
      </c>
      <c r="F81" s="3">
        <f t="shared" si="4"/>
        <v>2314</v>
      </c>
      <c r="G81" s="6">
        <v>0.5</v>
      </c>
      <c r="H81" s="11">
        <f>Tblsales[[#This Row],[Gross Sales]]*(1-Tblsales[[#This Row],[Discount]])</f>
        <v>1157</v>
      </c>
      <c r="I81" s="11">
        <f>Tblsales[[#This Row],[Gross Sales]]*Tblsales[[#This Row],[Discount]]</f>
        <v>1157</v>
      </c>
      <c r="J81" s="3">
        <v>14.240000000000002</v>
      </c>
      <c r="K81" s="3">
        <f>Tblsales[[#This Row],[Cost_per_unit]]*Tblsales[[#This Row],[Units]]</f>
        <v>370.24000000000007</v>
      </c>
      <c r="L81" s="3">
        <f>Tblsales[[#This Row],[Gross Sales]]-Tblsales[[#This Row],[Units]]*Tblsales[[#This Row],[Cost_per_unit]]-Tblsales[[#This Row],[Gross Sales]]*Tblsales[[#This Row],[Discount]]</f>
        <v>786.76</v>
      </c>
      <c r="M81" s="3">
        <f>Tblsales[[#This Row],[Profit]]/Tblsales[[#This Row],[Net_Sales]]</f>
        <v>0.67999999999999994</v>
      </c>
      <c r="N81" s="2">
        <f>EOMONTH(Tblsales[[#This Row],[Date]],-1)+1</f>
        <v>44927</v>
      </c>
      <c r="O81" s="3" t="str">
        <f t="shared" si="5"/>
        <v>Sports</v>
      </c>
    </row>
    <row r="82" spans="1:15" x14ac:dyDescent="0.3">
      <c r="A82" s="2">
        <v>44995</v>
      </c>
      <c r="B82" t="s">
        <v>9</v>
      </c>
      <c r="C82" t="s">
        <v>19</v>
      </c>
      <c r="D82">
        <v>157</v>
      </c>
      <c r="E82" s="3">
        <v>80</v>
      </c>
      <c r="F82" s="3">
        <f t="shared" si="4"/>
        <v>12560</v>
      </c>
      <c r="G82" s="6">
        <v>0.44</v>
      </c>
      <c r="H82" s="11">
        <f>Tblsales[[#This Row],[Gross Sales]]*(1-Tblsales[[#This Row],[Discount]])</f>
        <v>7033.6</v>
      </c>
      <c r="I82" s="11">
        <f>Tblsales[[#This Row],[Gross Sales]]*Tblsales[[#This Row],[Discount]]</f>
        <v>5526.4</v>
      </c>
      <c r="J82" s="3">
        <v>36</v>
      </c>
      <c r="K82" s="3">
        <f>Tblsales[[#This Row],[Cost_per_unit]]*Tblsales[[#This Row],[Units]]</f>
        <v>5652</v>
      </c>
      <c r="L82" s="3">
        <f>Tblsales[[#This Row],[Gross Sales]]-Tblsales[[#This Row],[Units]]*Tblsales[[#This Row],[Cost_per_unit]]-Tblsales[[#This Row],[Gross Sales]]*Tblsales[[#This Row],[Discount]]</f>
        <v>1381.6000000000004</v>
      </c>
      <c r="M82" s="3">
        <f>Tblsales[[#This Row],[Profit]]/Tblsales[[#This Row],[Net_Sales]]</f>
        <v>0.19642857142857148</v>
      </c>
      <c r="N82" s="2">
        <f>EOMONTH(Tblsales[[#This Row],[Date]],-1)+1</f>
        <v>44986</v>
      </c>
      <c r="O82" s="3" t="str">
        <f t="shared" si="5"/>
        <v>Sports</v>
      </c>
    </row>
    <row r="83" spans="1:15" x14ac:dyDescent="0.3">
      <c r="A83" s="2">
        <v>44927</v>
      </c>
      <c r="B83" t="s">
        <v>8</v>
      </c>
      <c r="C83" t="s">
        <v>20</v>
      </c>
      <c r="D83">
        <v>140</v>
      </c>
      <c r="E83" s="3">
        <v>89</v>
      </c>
      <c r="F83" s="3">
        <f t="shared" si="4"/>
        <v>12460</v>
      </c>
      <c r="G83" s="6">
        <v>0.57999999999999996</v>
      </c>
      <c r="H83" s="11">
        <f>Tblsales[[#This Row],[Gross Sales]]*(1-Tblsales[[#This Row],[Discount]])</f>
        <v>5233.2000000000007</v>
      </c>
      <c r="I83" s="11">
        <f>Tblsales[[#This Row],[Gross Sales]]*Tblsales[[#This Row],[Discount]]</f>
        <v>7226.7999999999993</v>
      </c>
      <c r="J83" s="3">
        <v>11.57</v>
      </c>
      <c r="K83" s="3">
        <f>Tblsales[[#This Row],[Cost_per_unit]]*Tblsales[[#This Row],[Units]]</f>
        <v>1619.8</v>
      </c>
      <c r="L83" s="3">
        <f>Tblsales[[#This Row],[Gross Sales]]-Tblsales[[#This Row],[Units]]*Tblsales[[#This Row],[Cost_per_unit]]-Tblsales[[#This Row],[Gross Sales]]*Tblsales[[#This Row],[Discount]]</f>
        <v>3613.4000000000015</v>
      </c>
      <c r="M83" s="3">
        <f>Tblsales[[#This Row],[Profit]]/Tblsales[[#This Row],[Net_Sales]]</f>
        <v>0.69047619047619069</v>
      </c>
      <c r="N83" s="2">
        <f>EOMONTH(Tblsales[[#This Row],[Date]],-1)+1</f>
        <v>44927</v>
      </c>
      <c r="O83" s="3" t="str">
        <f t="shared" si="5"/>
        <v>Accessories</v>
      </c>
    </row>
    <row r="84" spans="1:15" x14ac:dyDescent="0.3">
      <c r="A84" s="2">
        <v>44977</v>
      </c>
      <c r="B84" t="s">
        <v>14</v>
      </c>
      <c r="C84" t="s">
        <v>10</v>
      </c>
      <c r="D84">
        <v>123</v>
      </c>
      <c r="E84" s="3">
        <v>48</v>
      </c>
      <c r="F84" s="3">
        <f t="shared" ref="F84:F115" si="6">D84*E84</f>
        <v>5904</v>
      </c>
      <c r="G84" s="6">
        <v>0.84</v>
      </c>
      <c r="H84" s="11">
        <f>Tblsales[[#This Row],[Gross Sales]]*(1-Tblsales[[#This Row],[Discount]])</f>
        <v>944.64000000000021</v>
      </c>
      <c r="I84" s="11">
        <f>Tblsales[[#This Row],[Gross Sales]]*Tblsales[[#This Row],[Discount]]</f>
        <v>4959.3599999999997</v>
      </c>
      <c r="J84" s="3">
        <v>33.599999999999994</v>
      </c>
      <c r="K84" s="3">
        <f>Tblsales[[#This Row],[Cost_per_unit]]*Tblsales[[#This Row],[Units]]</f>
        <v>4132.7999999999993</v>
      </c>
      <c r="L84" s="3">
        <f>Tblsales[[#This Row],[Gross Sales]]-Tblsales[[#This Row],[Units]]*Tblsales[[#This Row],[Cost_per_unit]]-Tblsales[[#This Row],[Gross Sales]]*Tblsales[[#This Row],[Discount]]</f>
        <v>-3188.1599999999989</v>
      </c>
      <c r="M84" s="3">
        <f>Tblsales[[#This Row],[Profit]]/Tblsales[[#This Row],[Net_Sales]]</f>
        <v>-3.3749999999999982</v>
      </c>
      <c r="N84" s="2">
        <f>EOMONTH(Tblsales[[#This Row],[Date]],-1)+1</f>
        <v>44958</v>
      </c>
      <c r="O84" s="3" t="str">
        <f t="shared" si="5"/>
        <v>Sports</v>
      </c>
    </row>
    <row r="85" spans="1:15" x14ac:dyDescent="0.3">
      <c r="A85" s="2">
        <v>45015</v>
      </c>
      <c r="B85" t="s">
        <v>15</v>
      </c>
      <c r="C85" t="s">
        <v>4</v>
      </c>
      <c r="D85">
        <v>187</v>
      </c>
      <c r="E85" s="3">
        <v>57</v>
      </c>
      <c r="F85" s="3">
        <f t="shared" si="6"/>
        <v>10659</v>
      </c>
      <c r="G85" s="6">
        <v>0.23</v>
      </c>
      <c r="H85" s="11">
        <f>Tblsales[[#This Row],[Gross Sales]]*(1-Tblsales[[#This Row],[Discount]])</f>
        <v>8207.43</v>
      </c>
      <c r="I85" s="11">
        <f>Tblsales[[#This Row],[Gross Sales]]*Tblsales[[#This Row],[Discount]]</f>
        <v>2451.5700000000002</v>
      </c>
      <c r="J85" s="3">
        <v>17.100000000000001</v>
      </c>
      <c r="K85" s="3">
        <f>Tblsales[[#This Row],[Cost_per_unit]]*Tblsales[[#This Row],[Units]]</f>
        <v>3197.7000000000003</v>
      </c>
      <c r="L85" s="3">
        <f>Tblsales[[#This Row],[Gross Sales]]-Tblsales[[#This Row],[Units]]*Tblsales[[#This Row],[Cost_per_unit]]-Tblsales[[#This Row],[Gross Sales]]*Tblsales[[#This Row],[Discount]]</f>
        <v>5009.7299999999996</v>
      </c>
      <c r="M85" s="3">
        <f>Tblsales[[#This Row],[Profit]]/Tblsales[[#This Row],[Net_Sales]]</f>
        <v>0.61038961038961026</v>
      </c>
      <c r="N85" s="2">
        <f>EOMONTH(Tblsales[[#This Row],[Date]],-1)+1</f>
        <v>44986</v>
      </c>
      <c r="O85" s="3" t="str">
        <f t="shared" si="5"/>
        <v>Stationery</v>
      </c>
    </row>
    <row r="86" spans="1:15" x14ac:dyDescent="0.3">
      <c r="A86" s="2">
        <v>44980</v>
      </c>
      <c r="B86" t="s">
        <v>14</v>
      </c>
      <c r="C86" t="s">
        <v>18</v>
      </c>
      <c r="D86">
        <v>195</v>
      </c>
      <c r="E86" s="3">
        <v>69</v>
      </c>
      <c r="F86" s="3">
        <f t="shared" si="6"/>
        <v>13455</v>
      </c>
      <c r="G86" s="6">
        <v>0.67</v>
      </c>
      <c r="H86" s="11">
        <f>Tblsales[[#This Row],[Gross Sales]]*(1-Tblsales[[#This Row],[Discount]])</f>
        <v>4440.1499999999996</v>
      </c>
      <c r="I86" s="11">
        <f>Tblsales[[#This Row],[Gross Sales]]*Tblsales[[#This Row],[Discount]]</f>
        <v>9014.85</v>
      </c>
      <c r="J86" s="3">
        <v>35.19</v>
      </c>
      <c r="K86" s="3">
        <f>Tblsales[[#This Row],[Cost_per_unit]]*Tblsales[[#This Row],[Units]]</f>
        <v>6862.0499999999993</v>
      </c>
      <c r="L86" s="3">
        <f>Tblsales[[#This Row],[Gross Sales]]-Tblsales[[#This Row],[Units]]*Tblsales[[#This Row],[Cost_per_unit]]-Tblsales[[#This Row],[Gross Sales]]*Tblsales[[#This Row],[Discount]]</f>
        <v>-2421.8999999999996</v>
      </c>
      <c r="M86" s="3">
        <f>Tblsales[[#This Row],[Profit]]/Tblsales[[#This Row],[Net_Sales]]</f>
        <v>-0.54545454545454541</v>
      </c>
      <c r="N86" s="2">
        <f>EOMONTH(Tblsales[[#This Row],[Date]],-1)+1</f>
        <v>44958</v>
      </c>
      <c r="O86" s="3" t="str">
        <f t="shared" si="5"/>
        <v>Accessories</v>
      </c>
    </row>
    <row r="87" spans="1:15" x14ac:dyDescent="0.3">
      <c r="A87" s="2">
        <v>44972</v>
      </c>
      <c r="B87" t="s">
        <v>9</v>
      </c>
      <c r="C87" t="s">
        <v>5</v>
      </c>
      <c r="D87">
        <v>36</v>
      </c>
      <c r="E87" s="3">
        <v>36</v>
      </c>
      <c r="F87" s="3">
        <f t="shared" si="6"/>
        <v>1296</v>
      </c>
      <c r="G87" s="6">
        <v>0.74</v>
      </c>
      <c r="H87" s="11">
        <f>Tblsales[[#This Row],[Gross Sales]]*(1-Tblsales[[#This Row],[Discount]])</f>
        <v>336.96000000000004</v>
      </c>
      <c r="I87" s="11">
        <f>Tblsales[[#This Row],[Gross Sales]]*Tblsales[[#This Row],[Discount]]</f>
        <v>959.04</v>
      </c>
      <c r="J87" s="3">
        <v>21.240000000000002</v>
      </c>
      <c r="K87" s="3">
        <f>Tblsales[[#This Row],[Cost_per_unit]]*Tblsales[[#This Row],[Units]]</f>
        <v>764.6400000000001</v>
      </c>
      <c r="L87" s="3">
        <f>Tblsales[[#This Row],[Gross Sales]]-Tblsales[[#This Row],[Units]]*Tblsales[[#This Row],[Cost_per_unit]]-Tblsales[[#This Row],[Gross Sales]]*Tblsales[[#This Row],[Discount]]</f>
        <v>-427.68000000000006</v>
      </c>
      <c r="M87" s="3">
        <f>Tblsales[[#This Row],[Profit]]/Tblsales[[#This Row],[Net_Sales]]</f>
        <v>-1.2692307692307694</v>
      </c>
      <c r="N87" s="2">
        <f>EOMONTH(Tblsales[[#This Row],[Date]],-1)+1</f>
        <v>44958</v>
      </c>
      <c r="O87" s="3" t="str">
        <f t="shared" si="5"/>
        <v>Stationery</v>
      </c>
    </row>
    <row r="88" spans="1:15" x14ac:dyDescent="0.3">
      <c r="A88" s="2">
        <v>44969</v>
      </c>
      <c r="B88" t="s">
        <v>9</v>
      </c>
      <c r="C88" t="s">
        <v>18</v>
      </c>
      <c r="D88">
        <v>70</v>
      </c>
      <c r="E88" s="3">
        <v>53</v>
      </c>
      <c r="F88" s="3">
        <f t="shared" si="6"/>
        <v>3710</v>
      </c>
      <c r="G88" s="6">
        <v>0.64</v>
      </c>
      <c r="H88" s="11">
        <f>Tblsales[[#This Row],[Gross Sales]]*(1-Tblsales[[#This Row],[Discount]])</f>
        <v>1335.6</v>
      </c>
      <c r="I88" s="11">
        <f>Tblsales[[#This Row],[Gross Sales]]*Tblsales[[#This Row],[Discount]]</f>
        <v>2374.4</v>
      </c>
      <c r="J88" s="3">
        <v>7.4200000000000008</v>
      </c>
      <c r="K88" s="3">
        <f>Tblsales[[#This Row],[Cost_per_unit]]*Tblsales[[#This Row],[Units]]</f>
        <v>519.40000000000009</v>
      </c>
      <c r="L88" s="3">
        <f>Tblsales[[#This Row],[Gross Sales]]-Tblsales[[#This Row],[Units]]*Tblsales[[#This Row],[Cost_per_unit]]-Tblsales[[#This Row],[Gross Sales]]*Tblsales[[#This Row],[Discount]]</f>
        <v>816.19999999999982</v>
      </c>
      <c r="M88" s="3">
        <f>Tblsales[[#This Row],[Profit]]/Tblsales[[#This Row],[Net_Sales]]</f>
        <v>0.61111111111111105</v>
      </c>
      <c r="N88" s="2">
        <f>EOMONTH(Tblsales[[#This Row],[Date]],-1)+1</f>
        <v>44958</v>
      </c>
      <c r="O88" s="3" t="str">
        <f t="shared" si="5"/>
        <v>Accessories</v>
      </c>
    </row>
    <row r="89" spans="1:15" x14ac:dyDescent="0.3">
      <c r="A89" s="2">
        <v>44984</v>
      </c>
      <c r="B89" t="s">
        <v>8</v>
      </c>
      <c r="C89" t="s">
        <v>16</v>
      </c>
      <c r="D89">
        <v>124</v>
      </c>
      <c r="E89" s="3">
        <v>39</v>
      </c>
      <c r="F89" s="3">
        <f t="shared" si="6"/>
        <v>4836</v>
      </c>
      <c r="G89" s="6">
        <v>0.36</v>
      </c>
      <c r="H89" s="11">
        <f>Tblsales[[#This Row],[Gross Sales]]*(1-Tblsales[[#This Row],[Discount]])</f>
        <v>3095.04</v>
      </c>
      <c r="I89" s="11">
        <f>Tblsales[[#This Row],[Gross Sales]]*Tblsales[[#This Row],[Discount]]</f>
        <v>1740.96</v>
      </c>
      <c r="J89" s="3">
        <v>15.600000000000001</v>
      </c>
      <c r="K89" s="3">
        <f>Tblsales[[#This Row],[Cost_per_unit]]*Tblsales[[#This Row],[Units]]</f>
        <v>1934.4</v>
      </c>
      <c r="L89" s="3">
        <f>Tblsales[[#This Row],[Gross Sales]]-Tblsales[[#This Row],[Units]]*Tblsales[[#This Row],[Cost_per_unit]]-Tblsales[[#This Row],[Gross Sales]]*Tblsales[[#This Row],[Discount]]</f>
        <v>1160.6399999999999</v>
      </c>
      <c r="M89" s="3">
        <f>Tblsales[[#This Row],[Profit]]/Tblsales[[#This Row],[Net_Sales]]</f>
        <v>0.37499999999999994</v>
      </c>
      <c r="N89" s="2">
        <f>EOMONTH(Tblsales[[#This Row],[Date]],-1)+1</f>
        <v>44958</v>
      </c>
      <c r="O89" s="3" t="str">
        <f t="shared" si="5"/>
        <v>Sports</v>
      </c>
    </row>
    <row r="90" spans="1:15" x14ac:dyDescent="0.3">
      <c r="A90" s="2">
        <v>44940</v>
      </c>
      <c r="B90" t="s">
        <v>9</v>
      </c>
      <c r="C90" t="s">
        <v>10</v>
      </c>
      <c r="D90">
        <v>186</v>
      </c>
      <c r="E90" s="3">
        <v>57</v>
      </c>
      <c r="F90" s="3">
        <f t="shared" si="6"/>
        <v>10602</v>
      </c>
      <c r="G90" s="6">
        <v>0.28000000000000003</v>
      </c>
      <c r="H90" s="11">
        <f>Tblsales[[#This Row],[Gross Sales]]*(1-Tblsales[[#This Row],[Discount]])</f>
        <v>7633.44</v>
      </c>
      <c r="I90" s="11">
        <f>Tblsales[[#This Row],[Gross Sales]]*Tblsales[[#This Row],[Discount]]</f>
        <v>2968.5600000000004</v>
      </c>
      <c r="J90" s="3">
        <v>15.96</v>
      </c>
      <c r="K90" s="3">
        <f>Tblsales[[#This Row],[Cost_per_unit]]*Tblsales[[#This Row],[Units]]</f>
        <v>2968.56</v>
      </c>
      <c r="L90" s="3">
        <f>Tblsales[[#This Row],[Gross Sales]]-Tblsales[[#This Row],[Units]]*Tblsales[[#This Row],[Cost_per_unit]]-Tblsales[[#This Row],[Gross Sales]]*Tblsales[[#This Row],[Discount]]</f>
        <v>4664.88</v>
      </c>
      <c r="M90" s="3">
        <f>Tblsales[[#This Row],[Profit]]/Tblsales[[#This Row],[Net_Sales]]</f>
        <v>0.61111111111111116</v>
      </c>
      <c r="N90" s="2">
        <f>EOMONTH(Tblsales[[#This Row],[Date]],-1)+1</f>
        <v>44927</v>
      </c>
      <c r="O90" s="3" t="str">
        <f t="shared" si="5"/>
        <v>Sports</v>
      </c>
    </row>
    <row r="91" spans="1:15" x14ac:dyDescent="0.3">
      <c r="A91" s="2">
        <v>45010</v>
      </c>
      <c r="B91" t="s">
        <v>9</v>
      </c>
      <c r="C91" t="s">
        <v>21</v>
      </c>
      <c r="D91">
        <v>42</v>
      </c>
      <c r="E91" s="3">
        <v>72</v>
      </c>
      <c r="F91" s="3">
        <f t="shared" si="6"/>
        <v>3024</v>
      </c>
      <c r="G91" s="6">
        <v>0.51</v>
      </c>
      <c r="H91" s="11">
        <f>Tblsales[[#This Row],[Gross Sales]]*(1-Tblsales[[#This Row],[Discount]])</f>
        <v>1481.76</v>
      </c>
      <c r="I91" s="11">
        <f>Tblsales[[#This Row],[Gross Sales]]*Tblsales[[#This Row],[Discount]]</f>
        <v>1542.24</v>
      </c>
      <c r="J91" s="3">
        <v>26.64</v>
      </c>
      <c r="K91" s="3">
        <f>Tblsales[[#This Row],[Cost_per_unit]]*Tblsales[[#This Row],[Units]]</f>
        <v>1118.8800000000001</v>
      </c>
      <c r="L91" s="3">
        <f>Tblsales[[#This Row],[Gross Sales]]-Tblsales[[#This Row],[Units]]*Tblsales[[#This Row],[Cost_per_unit]]-Tblsales[[#This Row],[Gross Sales]]*Tblsales[[#This Row],[Discount]]</f>
        <v>362.87999999999988</v>
      </c>
      <c r="M91" s="3">
        <f>Tblsales[[#This Row],[Profit]]/Tblsales[[#This Row],[Net_Sales]]</f>
        <v>0.24489795918367338</v>
      </c>
      <c r="N91" s="2">
        <f>EOMONTH(Tblsales[[#This Row],[Date]],-1)+1</f>
        <v>44986</v>
      </c>
      <c r="O91" s="3" t="str">
        <f t="shared" si="5"/>
        <v>Accessories</v>
      </c>
    </row>
    <row r="92" spans="1:15" x14ac:dyDescent="0.3">
      <c r="A92" s="2">
        <v>44931</v>
      </c>
      <c r="B92" t="s">
        <v>9</v>
      </c>
      <c r="C92" t="s">
        <v>16</v>
      </c>
      <c r="D92">
        <v>72</v>
      </c>
      <c r="E92" s="3">
        <v>58</v>
      </c>
      <c r="F92" s="3">
        <f t="shared" si="6"/>
        <v>4176</v>
      </c>
      <c r="G92" s="6">
        <v>0.56999999999999995</v>
      </c>
      <c r="H92" s="11">
        <f>Tblsales[[#This Row],[Gross Sales]]*(1-Tblsales[[#This Row],[Discount]])</f>
        <v>1795.6800000000003</v>
      </c>
      <c r="I92" s="11">
        <f>Tblsales[[#This Row],[Gross Sales]]*Tblsales[[#This Row],[Discount]]</f>
        <v>2380.3199999999997</v>
      </c>
      <c r="J92" s="3">
        <v>26.099999999999998</v>
      </c>
      <c r="K92" s="3">
        <f>Tblsales[[#This Row],[Cost_per_unit]]*Tblsales[[#This Row],[Units]]</f>
        <v>1879.1999999999998</v>
      </c>
      <c r="L92" s="3">
        <f>Tblsales[[#This Row],[Gross Sales]]-Tblsales[[#This Row],[Units]]*Tblsales[[#This Row],[Cost_per_unit]]-Tblsales[[#This Row],[Gross Sales]]*Tblsales[[#This Row],[Discount]]</f>
        <v>-83.519999999999527</v>
      </c>
      <c r="M92" s="3">
        <f>Tblsales[[#This Row],[Profit]]/Tblsales[[#This Row],[Net_Sales]]</f>
        <v>-4.6511627906976473E-2</v>
      </c>
      <c r="N92" s="2">
        <f>EOMONTH(Tblsales[[#This Row],[Date]],-1)+1</f>
        <v>44927</v>
      </c>
      <c r="O92" s="3" t="str">
        <f t="shared" si="5"/>
        <v>Sports</v>
      </c>
    </row>
    <row r="93" spans="1:15" x14ac:dyDescent="0.3">
      <c r="A93" s="2">
        <v>44968</v>
      </c>
      <c r="B93" t="s">
        <v>14</v>
      </c>
      <c r="C93" t="s">
        <v>16</v>
      </c>
      <c r="D93">
        <v>59</v>
      </c>
      <c r="E93" s="3">
        <v>30</v>
      </c>
      <c r="F93" s="3">
        <f t="shared" si="6"/>
        <v>1770</v>
      </c>
      <c r="G93" s="6">
        <v>0.83</v>
      </c>
      <c r="H93" s="11">
        <f>Tblsales[[#This Row],[Gross Sales]]*(1-Tblsales[[#This Row],[Discount]])</f>
        <v>300.90000000000009</v>
      </c>
      <c r="I93" s="11">
        <f>Tblsales[[#This Row],[Gross Sales]]*Tblsales[[#This Row],[Discount]]</f>
        <v>1469.1</v>
      </c>
      <c r="J93" s="3">
        <v>9.8999999999999986</v>
      </c>
      <c r="K93" s="3">
        <f>Tblsales[[#This Row],[Cost_per_unit]]*Tblsales[[#This Row],[Units]]</f>
        <v>584.09999999999991</v>
      </c>
      <c r="L93" s="3">
        <f>Tblsales[[#This Row],[Gross Sales]]-Tblsales[[#This Row],[Units]]*Tblsales[[#This Row],[Cost_per_unit]]-Tblsales[[#This Row],[Gross Sales]]*Tblsales[[#This Row],[Discount]]</f>
        <v>-283.19999999999982</v>
      </c>
      <c r="M93" s="3">
        <f>Tblsales[[#This Row],[Profit]]/Tblsales[[#This Row],[Net_Sales]]</f>
        <v>-0.94117647058823439</v>
      </c>
      <c r="N93" s="2">
        <f>EOMONTH(Tblsales[[#This Row],[Date]],-1)+1</f>
        <v>44958</v>
      </c>
      <c r="O93" s="3" t="str">
        <f t="shared" si="5"/>
        <v>Sports</v>
      </c>
    </row>
    <row r="94" spans="1:15" x14ac:dyDescent="0.3">
      <c r="A94" s="2">
        <v>44957</v>
      </c>
      <c r="B94" t="s">
        <v>9</v>
      </c>
      <c r="C94" t="s">
        <v>20</v>
      </c>
      <c r="D94">
        <v>97</v>
      </c>
      <c r="E94" s="3">
        <v>75</v>
      </c>
      <c r="F94" s="3">
        <f t="shared" si="6"/>
        <v>7275</v>
      </c>
      <c r="G94" s="6">
        <v>0.22</v>
      </c>
      <c r="H94" s="11">
        <f>Tblsales[[#This Row],[Gross Sales]]*(1-Tblsales[[#This Row],[Discount]])</f>
        <v>5674.5</v>
      </c>
      <c r="I94" s="11">
        <f>Tblsales[[#This Row],[Gross Sales]]*Tblsales[[#This Row],[Discount]]</f>
        <v>1600.5</v>
      </c>
      <c r="J94" s="3">
        <v>16.499999999999996</v>
      </c>
      <c r="K94" s="3">
        <f>Tblsales[[#This Row],[Cost_per_unit]]*Tblsales[[#This Row],[Units]]</f>
        <v>1600.4999999999995</v>
      </c>
      <c r="L94" s="3">
        <f>Tblsales[[#This Row],[Gross Sales]]-Tblsales[[#This Row],[Units]]*Tblsales[[#This Row],[Cost_per_unit]]-Tblsales[[#This Row],[Gross Sales]]*Tblsales[[#This Row],[Discount]]</f>
        <v>4074</v>
      </c>
      <c r="M94" s="3">
        <f>Tblsales[[#This Row],[Profit]]/Tblsales[[#This Row],[Net_Sales]]</f>
        <v>0.71794871794871795</v>
      </c>
      <c r="N94" s="2">
        <f>EOMONTH(Tblsales[[#This Row],[Date]],-1)+1</f>
        <v>44927</v>
      </c>
      <c r="O94" s="3" t="str">
        <f t="shared" si="5"/>
        <v>Accessories</v>
      </c>
    </row>
    <row r="95" spans="1:15" x14ac:dyDescent="0.3">
      <c r="A95" s="2">
        <v>44953</v>
      </c>
      <c r="B95" t="s">
        <v>8</v>
      </c>
      <c r="C95" t="s">
        <v>20</v>
      </c>
      <c r="D95">
        <v>184</v>
      </c>
      <c r="E95" s="3">
        <v>65</v>
      </c>
      <c r="F95" s="3">
        <f t="shared" si="6"/>
        <v>11960</v>
      </c>
      <c r="G95" s="6">
        <v>0.59</v>
      </c>
      <c r="H95" s="11">
        <f>Tblsales[[#This Row],[Gross Sales]]*(1-Tblsales[[#This Row],[Discount]])</f>
        <v>4903.6000000000004</v>
      </c>
      <c r="I95" s="11">
        <f>Tblsales[[#This Row],[Gross Sales]]*Tblsales[[#This Row],[Discount]]</f>
        <v>7056.4</v>
      </c>
      <c r="J95" s="3">
        <v>17.55</v>
      </c>
      <c r="K95" s="3">
        <f>Tblsales[[#This Row],[Cost_per_unit]]*Tblsales[[#This Row],[Units]]</f>
        <v>3229.2000000000003</v>
      </c>
      <c r="L95" s="3">
        <f>Tblsales[[#This Row],[Gross Sales]]-Tblsales[[#This Row],[Units]]*Tblsales[[#This Row],[Cost_per_unit]]-Tblsales[[#This Row],[Gross Sales]]*Tblsales[[#This Row],[Discount]]</f>
        <v>1674.3999999999996</v>
      </c>
      <c r="M95" s="3">
        <f>Tblsales[[#This Row],[Profit]]/Tblsales[[#This Row],[Net_Sales]]</f>
        <v>0.34146341463414626</v>
      </c>
      <c r="N95" s="2">
        <f>EOMONTH(Tblsales[[#This Row],[Date]],-1)+1</f>
        <v>44927</v>
      </c>
      <c r="O95" s="3" t="str">
        <f t="shared" si="5"/>
        <v>Accessories</v>
      </c>
    </row>
    <row r="96" spans="1:15" x14ac:dyDescent="0.3">
      <c r="A96" s="2">
        <v>44986</v>
      </c>
      <c r="B96" t="s">
        <v>14</v>
      </c>
      <c r="C96" t="s">
        <v>19</v>
      </c>
      <c r="D96">
        <v>41</v>
      </c>
      <c r="E96" s="3">
        <v>57</v>
      </c>
      <c r="F96" s="3">
        <f t="shared" si="6"/>
        <v>2337</v>
      </c>
      <c r="G96" s="6">
        <v>0.85</v>
      </c>
      <c r="H96" s="11">
        <f>Tblsales[[#This Row],[Gross Sales]]*(1-Tblsales[[#This Row],[Discount]])</f>
        <v>350.55000000000007</v>
      </c>
      <c r="I96" s="11">
        <f>Tblsales[[#This Row],[Gross Sales]]*Tblsales[[#This Row],[Discount]]</f>
        <v>1986.45</v>
      </c>
      <c r="J96" s="3">
        <v>32.49</v>
      </c>
      <c r="K96" s="3">
        <f>Tblsales[[#This Row],[Cost_per_unit]]*Tblsales[[#This Row],[Units]]</f>
        <v>1332.0900000000001</v>
      </c>
      <c r="L96" s="3">
        <f>Tblsales[[#This Row],[Gross Sales]]-Tblsales[[#This Row],[Units]]*Tblsales[[#This Row],[Cost_per_unit]]-Tblsales[[#This Row],[Gross Sales]]*Tblsales[[#This Row],[Discount]]</f>
        <v>-981.54000000000019</v>
      </c>
      <c r="M96" s="3">
        <f>Tblsales[[#This Row],[Profit]]/Tblsales[[#This Row],[Net_Sales]]</f>
        <v>-2.8</v>
      </c>
      <c r="N96" s="2">
        <f>EOMONTH(Tblsales[[#This Row],[Date]],-1)+1</f>
        <v>44986</v>
      </c>
      <c r="O96" s="3" t="str">
        <f t="shared" si="5"/>
        <v>Sports</v>
      </c>
    </row>
    <row r="97" spans="1:15" x14ac:dyDescent="0.3">
      <c r="A97" s="2">
        <v>44989</v>
      </c>
      <c r="B97" t="s">
        <v>9</v>
      </c>
      <c r="C97" t="s">
        <v>5</v>
      </c>
      <c r="D97">
        <v>135</v>
      </c>
      <c r="E97" s="3">
        <v>84</v>
      </c>
      <c r="F97" s="3">
        <f t="shared" si="6"/>
        <v>11340</v>
      </c>
      <c r="G97" s="6">
        <v>0.85</v>
      </c>
      <c r="H97" s="11">
        <f>Tblsales[[#This Row],[Gross Sales]]*(1-Tblsales[[#This Row],[Discount]])</f>
        <v>1701.0000000000002</v>
      </c>
      <c r="I97" s="11">
        <f>Tblsales[[#This Row],[Gross Sales]]*Tblsales[[#This Row],[Discount]]</f>
        <v>9639</v>
      </c>
      <c r="J97" s="3">
        <v>24.360000000000003</v>
      </c>
      <c r="K97" s="3">
        <f>Tblsales[[#This Row],[Cost_per_unit]]*Tblsales[[#This Row],[Units]]</f>
        <v>3288.6000000000004</v>
      </c>
      <c r="L97" s="3">
        <f>Tblsales[[#This Row],[Gross Sales]]-Tblsales[[#This Row],[Units]]*Tblsales[[#This Row],[Cost_per_unit]]-Tblsales[[#This Row],[Gross Sales]]*Tblsales[[#This Row],[Discount]]</f>
        <v>-1587.6000000000004</v>
      </c>
      <c r="M97" s="3">
        <f>Tblsales[[#This Row],[Profit]]/Tblsales[[#This Row],[Net_Sales]]</f>
        <v>-0.93333333333333346</v>
      </c>
      <c r="N97" s="2">
        <f>EOMONTH(Tblsales[[#This Row],[Date]],-1)+1</f>
        <v>44986</v>
      </c>
      <c r="O97" s="3" t="str">
        <f t="shared" si="5"/>
        <v>Stationery</v>
      </c>
    </row>
    <row r="98" spans="1:15" x14ac:dyDescent="0.3">
      <c r="A98" s="2">
        <v>44930</v>
      </c>
      <c r="B98" t="s">
        <v>15</v>
      </c>
      <c r="C98" t="s">
        <v>21</v>
      </c>
      <c r="D98">
        <v>51</v>
      </c>
      <c r="E98" s="3">
        <v>70</v>
      </c>
      <c r="F98" s="3">
        <f t="shared" si="6"/>
        <v>3570</v>
      </c>
      <c r="G98" s="6">
        <v>0.65</v>
      </c>
      <c r="H98" s="11">
        <f>Tblsales[[#This Row],[Gross Sales]]*(1-Tblsales[[#This Row],[Discount]])</f>
        <v>1249.5</v>
      </c>
      <c r="I98" s="11">
        <f>Tblsales[[#This Row],[Gross Sales]]*Tblsales[[#This Row],[Discount]]</f>
        <v>2320.5</v>
      </c>
      <c r="J98" s="3">
        <v>8.4</v>
      </c>
      <c r="K98" s="3">
        <f>Tblsales[[#This Row],[Cost_per_unit]]*Tblsales[[#This Row],[Units]]</f>
        <v>428.40000000000003</v>
      </c>
      <c r="L98" s="3">
        <f>Tblsales[[#This Row],[Gross Sales]]-Tblsales[[#This Row],[Units]]*Tblsales[[#This Row],[Cost_per_unit]]-Tblsales[[#This Row],[Gross Sales]]*Tblsales[[#This Row],[Discount]]</f>
        <v>821.09999999999991</v>
      </c>
      <c r="M98" s="3">
        <f>Tblsales[[#This Row],[Profit]]/Tblsales[[#This Row],[Net_Sales]]</f>
        <v>0.65714285714285703</v>
      </c>
      <c r="N98" s="2">
        <f>EOMONTH(Tblsales[[#This Row],[Date]],-1)+1</f>
        <v>44927</v>
      </c>
      <c r="O98" s="3" t="str">
        <f t="shared" ref="O98:O129" si="7">IF(OR(C98="Notebook",C98="Pen",C98="Marker"),"Stationery",
 IF(OR(C98="File Folder",C98="Stapler",C98="Calculator",C98="Glue Stick"),"Accessories","Sports"))</f>
        <v>Accessories</v>
      </c>
    </row>
    <row r="99" spans="1:15" x14ac:dyDescent="0.3">
      <c r="A99" s="2">
        <v>44956</v>
      </c>
      <c r="B99" t="s">
        <v>15</v>
      </c>
      <c r="C99" t="s">
        <v>21</v>
      </c>
      <c r="D99">
        <v>61</v>
      </c>
      <c r="E99" s="3">
        <v>90</v>
      </c>
      <c r="F99" s="3">
        <f t="shared" si="6"/>
        <v>5490</v>
      </c>
      <c r="G99" s="6">
        <v>0.3</v>
      </c>
      <c r="H99" s="11">
        <f>Tblsales[[#This Row],[Gross Sales]]*(1-Tblsales[[#This Row],[Discount]])</f>
        <v>3842.9999999999995</v>
      </c>
      <c r="I99" s="11">
        <f>Tblsales[[#This Row],[Gross Sales]]*Tblsales[[#This Row],[Discount]]</f>
        <v>1647</v>
      </c>
      <c r="J99" s="3">
        <v>23.400000000000002</v>
      </c>
      <c r="K99" s="3">
        <f>Tblsales[[#This Row],[Cost_per_unit]]*Tblsales[[#This Row],[Units]]</f>
        <v>1427.4</v>
      </c>
      <c r="L99" s="3">
        <f>Tblsales[[#This Row],[Gross Sales]]-Tblsales[[#This Row],[Units]]*Tblsales[[#This Row],[Cost_per_unit]]-Tblsales[[#This Row],[Gross Sales]]*Tblsales[[#This Row],[Discount]]</f>
        <v>2415.6</v>
      </c>
      <c r="M99" s="3">
        <f>Tblsales[[#This Row],[Profit]]/Tblsales[[#This Row],[Net_Sales]]</f>
        <v>0.62857142857142867</v>
      </c>
      <c r="N99" s="2">
        <f>EOMONTH(Tblsales[[#This Row],[Date]],-1)+1</f>
        <v>44927</v>
      </c>
      <c r="O99" s="3" t="str">
        <f t="shared" si="7"/>
        <v>Accessories</v>
      </c>
    </row>
    <row r="100" spans="1:15" x14ac:dyDescent="0.3">
      <c r="A100" s="2">
        <v>44988</v>
      </c>
      <c r="B100" t="s">
        <v>14</v>
      </c>
      <c r="C100" t="s">
        <v>10</v>
      </c>
      <c r="D100">
        <v>79</v>
      </c>
      <c r="E100" s="3">
        <v>86</v>
      </c>
      <c r="F100" s="3">
        <f t="shared" si="6"/>
        <v>6794</v>
      </c>
      <c r="G100" s="6">
        <v>0.32</v>
      </c>
      <c r="H100" s="11">
        <f>Tblsales[[#This Row],[Gross Sales]]*(1-Tblsales[[#This Row],[Discount]])</f>
        <v>4619.9199999999992</v>
      </c>
      <c r="I100" s="11">
        <f>Tblsales[[#This Row],[Gross Sales]]*Tblsales[[#This Row],[Discount]]</f>
        <v>2174.08</v>
      </c>
      <c r="J100" s="3">
        <v>34.4</v>
      </c>
      <c r="K100" s="3">
        <f>Tblsales[[#This Row],[Cost_per_unit]]*Tblsales[[#This Row],[Units]]</f>
        <v>2717.6</v>
      </c>
      <c r="L100" s="3">
        <f>Tblsales[[#This Row],[Gross Sales]]-Tblsales[[#This Row],[Units]]*Tblsales[[#This Row],[Cost_per_unit]]-Tblsales[[#This Row],[Gross Sales]]*Tblsales[[#This Row],[Discount]]</f>
        <v>1902.3200000000002</v>
      </c>
      <c r="M100" s="3">
        <f>Tblsales[[#This Row],[Profit]]/Tblsales[[#This Row],[Net_Sales]]</f>
        <v>0.41176470588235303</v>
      </c>
      <c r="N100" s="2">
        <f>EOMONTH(Tblsales[[#This Row],[Date]],-1)+1</f>
        <v>44986</v>
      </c>
      <c r="O100" s="3" t="str">
        <f t="shared" si="7"/>
        <v>Sports</v>
      </c>
    </row>
    <row r="101" spans="1:15" x14ac:dyDescent="0.3">
      <c r="A101" s="2">
        <v>44994</v>
      </c>
      <c r="B101" t="s">
        <v>9</v>
      </c>
      <c r="C101" t="s">
        <v>10</v>
      </c>
      <c r="D101">
        <v>192</v>
      </c>
      <c r="E101" s="3">
        <v>61</v>
      </c>
      <c r="F101" s="3">
        <f t="shared" si="6"/>
        <v>11712</v>
      </c>
      <c r="G101" s="6">
        <v>0.63</v>
      </c>
      <c r="H101" s="11">
        <f>Tblsales[[#This Row],[Gross Sales]]*(1-Tblsales[[#This Row],[Discount]])</f>
        <v>4333.4399999999996</v>
      </c>
      <c r="I101" s="11">
        <f>Tblsales[[#This Row],[Gross Sales]]*Tblsales[[#This Row],[Discount]]</f>
        <v>7378.56</v>
      </c>
      <c r="J101" s="3">
        <v>18.300000000000004</v>
      </c>
      <c r="K101" s="3">
        <f>Tblsales[[#This Row],[Cost_per_unit]]*Tblsales[[#This Row],[Units]]</f>
        <v>3513.6000000000008</v>
      </c>
      <c r="L101" s="3">
        <f>Tblsales[[#This Row],[Gross Sales]]-Tblsales[[#This Row],[Units]]*Tblsales[[#This Row],[Cost_per_unit]]-Tblsales[[#This Row],[Gross Sales]]*Tblsales[[#This Row],[Discount]]</f>
        <v>819.83999999999924</v>
      </c>
      <c r="M101" s="3">
        <f>Tblsales[[#This Row],[Profit]]/Tblsales[[#This Row],[Net_Sales]]</f>
        <v>0.18918918918918903</v>
      </c>
      <c r="N101" s="2">
        <f>EOMONTH(Tblsales[[#This Row],[Date]],-1)+1</f>
        <v>44986</v>
      </c>
      <c r="O101" s="3" t="str">
        <f t="shared" si="7"/>
        <v>Sports</v>
      </c>
    </row>
    <row r="102" spans="1:15" x14ac:dyDescent="0.3">
      <c r="A102" s="2">
        <v>44958</v>
      </c>
      <c r="B102" t="s">
        <v>15</v>
      </c>
      <c r="C102" t="s">
        <v>10</v>
      </c>
      <c r="D102">
        <v>155</v>
      </c>
      <c r="E102" s="3">
        <v>66</v>
      </c>
      <c r="F102" s="3">
        <f t="shared" si="6"/>
        <v>10230</v>
      </c>
      <c r="G102" s="6">
        <v>0.84</v>
      </c>
      <c r="H102" s="11">
        <f>Tblsales[[#This Row],[Gross Sales]]*(1-Tblsales[[#This Row],[Discount]])</f>
        <v>1636.8000000000004</v>
      </c>
      <c r="I102" s="11">
        <f>Tblsales[[#This Row],[Gross Sales]]*Tblsales[[#This Row],[Discount]]</f>
        <v>8593.1999999999989</v>
      </c>
      <c r="J102" s="3">
        <v>31.68</v>
      </c>
      <c r="K102" s="3">
        <f>Tblsales[[#This Row],[Cost_per_unit]]*Tblsales[[#This Row],[Units]]</f>
        <v>4910.3999999999996</v>
      </c>
      <c r="L102" s="3">
        <f>Tblsales[[#This Row],[Gross Sales]]-Tblsales[[#This Row],[Units]]*Tblsales[[#This Row],[Cost_per_unit]]-Tblsales[[#This Row],[Gross Sales]]*Tblsales[[#This Row],[Discount]]</f>
        <v>-3273.5999999999985</v>
      </c>
      <c r="M102" s="3">
        <f>Tblsales[[#This Row],[Profit]]/Tblsales[[#This Row],[Net_Sales]]</f>
        <v>-1.9999999999999987</v>
      </c>
      <c r="N102" s="2">
        <f>EOMONTH(Tblsales[[#This Row],[Date]],-1)+1</f>
        <v>44958</v>
      </c>
      <c r="O102" s="3" t="str">
        <f t="shared" si="7"/>
        <v>Sports</v>
      </c>
    </row>
    <row r="103" spans="1:15" x14ac:dyDescent="0.3">
      <c r="A103" s="2">
        <v>44990</v>
      </c>
      <c r="B103" t="s">
        <v>8</v>
      </c>
      <c r="C103" t="s">
        <v>18</v>
      </c>
      <c r="D103">
        <v>124</v>
      </c>
      <c r="E103" s="3">
        <v>77</v>
      </c>
      <c r="F103" s="3">
        <f t="shared" si="6"/>
        <v>9548</v>
      </c>
      <c r="G103" s="6">
        <v>0.67</v>
      </c>
      <c r="H103" s="11">
        <f>Tblsales[[#This Row],[Gross Sales]]*(1-Tblsales[[#This Row],[Discount]])</f>
        <v>3150.8399999999997</v>
      </c>
      <c r="I103" s="11">
        <f>Tblsales[[#This Row],[Gross Sales]]*Tblsales[[#This Row],[Discount]]</f>
        <v>6397.1600000000008</v>
      </c>
      <c r="J103" s="3">
        <v>51.589999999999996</v>
      </c>
      <c r="K103" s="3">
        <f>Tblsales[[#This Row],[Cost_per_unit]]*Tblsales[[#This Row],[Units]]</f>
        <v>6397.16</v>
      </c>
      <c r="L103" s="3">
        <f>Tblsales[[#This Row],[Gross Sales]]-Tblsales[[#This Row],[Units]]*Tblsales[[#This Row],[Cost_per_unit]]-Tblsales[[#This Row],[Gross Sales]]*Tblsales[[#This Row],[Discount]]</f>
        <v>-3246.3200000000006</v>
      </c>
      <c r="M103" s="3">
        <f>Tblsales[[#This Row],[Profit]]/Tblsales[[#This Row],[Net_Sales]]</f>
        <v>-1.0303030303030305</v>
      </c>
      <c r="N103" s="2">
        <f>EOMONTH(Tblsales[[#This Row],[Date]],-1)+1</f>
        <v>44986</v>
      </c>
      <c r="O103" s="3" t="str">
        <f t="shared" si="7"/>
        <v>Accessories</v>
      </c>
    </row>
    <row r="104" spans="1:15" x14ac:dyDescent="0.3">
      <c r="A104" s="2">
        <v>44943</v>
      </c>
      <c r="B104" t="s">
        <v>14</v>
      </c>
      <c r="C104" t="s">
        <v>17</v>
      </c>
      <c r="D104">
        <v>132</v>
      </c>
      <c r="E104" s="3">
        <v>87</v>
      </c>
      <c r="F104" s="3">
        <f t="shared" si="6"/>
        <v>11484</v>
      </c>
      <c r="G104" s="6">
        <v>0.77</v>
      </c>
      <c r="H104" s="11">
        <f>Tblsales[[#This Row],[Gross Sales]]*(1-Tblsales[[#This Row],[Discount]])</f>
        <v>2641.3199999999997</v>
      </c>
      <c r="I104" s="11">
        <f>Tblsales[[#This Row],[Gross Sales]]*Tblsales[[#This Row],[Discount]]</f>
        <v>8842.68</v>
      </c>
      <c r="J104" s="3">
        <v>47.85</v>
      </c>
      <c r="K104" s="3">
        <f>Tblsales[[#This Row],[Cost_per_unit]]*Tblsales[[#This Row],[Units]]</f>
        <v>6316.2</v>
      </c>
      <c r="L104" s="3">
        <f>Tblsales[[#This Row],[Gross Sales]]-Tblsales[[#This Row],[Units]]*Tblsales[[#This Row],[Cost_per_unit]]-Tblsales[[#This Row],[Gross Sales]]*Tblsales[[#This Row],[Discount]]</f>
        <v>-3674.88</v>
      </c>
      <c r="M104" s="3">
        <f>Tblsales[[#This Row],[Profit]]/Tblsales[[#This Row],[Net_Sales]]</f>
        <v>-1.3913043478260871</v>
      </c>
      <c r="N104" s="2">
        <f>EOMONTH(Tblsales[[#This Row],[Date]],-1)+1</f>
        <v>44927</v>
      </c>
      <c r="O104" s="3" t="str">
        <f t="shared" si="7"/>
        <v>Accessories</v>
      </c>
    </row>
    <row r="105" spans="1:15" x14ac:dyDescent="0.3">
      <c r="A105" s="2">
        <v>44955</v>
      </c>
      <c r="B105" t="s">
        <v>15</v>
      </c>
      <c r="C105" t="s">
        <v>21</v>
      </c>
      <c r="D105">
        <v>89</v>
      </c>
      <c r="E105" s="3">
        <v>76</v>
      </c>
      <c r="F105" s="3">
        <f t="shared" si="6"/>
        <v>6764</v>
      </c>
      <c r="G105" s="6">
        <v>0.62</v>
      </c>
      <c r="H105" s="11">
        <f>Tblsales[[#This Row],[Gross Sales]]*(1-Tblsales[[#This Row],[Discount]])</f>
        <v>2570.3200000000002</v>
      </c>
      <c r="I105" s="11">
        <f>Tblsales[[#This Row],[Gross Sales]]*Tblsales[[#This Row],[Discount]]</f>
        <v>4193.68</v>
      </c>
      <c r="J105" s="3">
        <v>18.239999999999998</v>
      </c>
      <c r="K105" s="3">
        <f>Tblsales[[#This Row],[Cost_per_unit]]*Tblsales[[#This Row],[Units]]</f>
        <v>1623.36</v>
      </c>
      <c r="L105" s="3">
        <f>Tblsales[[#This Row],[Gross Sales]]-Tblsales[[#This Row],[Units]]*Tblsales[[#This Row],[Cost_per_unit]]-Tblsales[[#This Row],[Gross Sales]]*Tblsales[[#This Row],[Discount]]</f>
        <v>946.96</v>
      </c>
      <c r="M105" s="3">
        <f>Tblsales[[#This Row],[Profit]]/Tblsales[[#This Row],[Net_Sales]]</f>
        <v>0.36842105263157893</v>
      </c>
      <c r="N105" s="2">
        <f>EOMONTH(Tblsales[[#This Row],[Date]],-1)+1</f>
        <v>44927</v>
      </c>
      <c r="O105" s="3" t="str">
        <f t="shared" si="7"/>
        <v>Accessories</v>
      </c>
    </row>
    <row r="106" spans="1:15" x14ac:dyDescent="0.3">
      <c r="A106" s="2">
        <v>44983</v>
      </c>
      <c r="B106" t="s">
        <v>15</v>
      </c>
      <c r="C106" t="s">
        <v>10</v>
      </c>
      <c r="D106">
        <v>170</v>
      </c>
      <c r="E106" s="3">
        <v>34</v>
      </c>
      <c r="F106" s="3">
        <f t="shared" si="6"/>
        <v>5780</v>
      </c>
      <c r="G106" s="6">
        <v>0.44</v>
      </c>
      <c r="H106" s="11">
        <f>Tblsales[[#This Row],[Gross Sales]]*(1-Tblsales[[#This Row],[Discount]])</f>
        <v>3236.8</v>
      </c>
      <c r="I106" s="11">
        <f>Tblsales[[#This Row],[Gross Sales]]*Tblsales[[#This Row],[Discount]]</f>
        <v>2543.1999999999998</v>
      </c>
      <c r="J106" s="3">
        <v>22.779999999999998</v>
      </c>
      <c r="K106" s="3">
        <f>Tblsales[[#This Row],[Cost_per_unit]]*Tblsales[[#This Row],[Units]]</f>
        <v>3872.5999999999995</v>
      </c>
      <c r="L106" s="3">
        <f>Tblsales[[#This Row],[Gross Sales]]-Tblsales[[#This Row],[Units]]*Tblsales[[#This Row],[Cost_per_unit]]-Tblsales[[#This Row],[Gross Sales]]*Tblsales[[#This Row],[Discount]]</f>
        <v>-635.79999999999927</v>
      </c>
      <c r="M106" s="3">
        <f>Tblsales[[#This Row],[Profit]]/Tblsales[[#This Row],[Net_Sales]]</f>
        <v>-0.1964285714285712</v>
      </c>
      <c r="N106" s="2">
        <f>EOMONTH(Tblsales[[#This Row],[Date]],-1)+1</f>
        <v>44958</v>
      </c>
      <c r="O106" s="3" t="str">
        <f t="shared" si="7"/>
        <v>Sports</v>
      </c>
    </row>
    <row r="107" spans="1:15" x14ac:dyDescent="0.3">
      <c r="A107" s="2">
        <v>44982</v>
      </c>
      <c r="B107" t="s">
        <v>8</v>
      </c>
      <c r="C107" t="s">
        <v>10</v>
      </c>
      <c r="D107">
        <v>87</v>
      </c>
      <c r="E107" s="3">
        <v>54</v>
      </c>
      <c r="F107" s="3">
        <f t="shared" si="6"/>
        <v>4698</v>
      </c>
      <c r="G107" s="6">
        <v>0.3</v>
      </c>
      <c r="H107" s="11">
        <f>Tblsales[[#This Row],[Gross Sales]]*(1-Tblsales[[#This Row],[Discount]])</f>
        <v>3288.6</v>
      </c>
      <c r="I107" s="11">
        <f>Tblsales[[#This Row],[Gross Sales]]*Tblsales[[#This Row],[Discount]]</f>
        <v>1409.3999999999999</v>
      </c>
      <c r="J107" s="3">
        <v>19.98</v>
      </c>
      <c r="K107" s="3">
        <f>Tblsales[[#This Row],[Cost_per_unit]]*Tblsales[[#This Row],[Units]]</f>
        <v>1738.26</v>
      </c>
      <c r="L107" s="3">
        <f>Tblsales[[#This Row],[Gross Sales]]-Tblsales[[#This Row],[Units]]*Tblsales[[#This Row],[Cost_per_unit]]-Tblsales[[#This Row],[Gross Sales]]*Tblsales[[#This Row],[Discount]]</f>
        <v>1550.34</v>
      </c>
      <c r="M107" s="3">
        <f>Tblsales[[#This Row],[Profit]]/Tblsales[[#This Row],[Net_Sales]]</f>
        <v>0.47142857142857142</v>
      </c>
      <c r="N107" s="2">
        <f>EOMONTH(Tblsales[[#This Row],[Date]],-1)+1</f>
        <v>44958</v>
      </c>
      <c r="O107" s="3" t="str">
        <f t="shared" si="7"/>
        <v>Sports</v>
      </c>
    </row>
    <row r="108" spans="1:15" x14ac:dyDescent="0.3">
      <c r="A108" s="2">
        <v>44949</v>
      </c>
      <c r="B108" t="s">
        <v>9</v>
      </c>
      <c r="C108" t="s">
        <v>17</v>
      </c>
      <c r="D108">
        <v>77</v>
      </c>
      <c r="E108" s="3">
        <v>67</v>
      </c>
      <c r="F108" s="3">
        <f t="shared" si="6"/>
        <v>5159</v>
      </c>
      <c r="G108" s="6">
        <v>0.59</v>
      </c>
      <c r="H108" s="11">
        <f>Tblsales[[#This Row],[Gross Sales]]*(1-Tblsales[[#This Row],[Discount]])</f>
        <v>2115.19</v>
      </c>
      <c r="I108" s="11">
        <f>Tblsales[[#This Row],[Gross Sales]]*Tblsales[[#This Row],[Discount]]</f>
        <v>3043.81</v>
      </c>
      <c r="J108" s="3">
        <v>40.199999999999996</v>
      </c>
      <c r="K108" s="3">
        <f>Tblsales[[#This Row],[Cost_per_unit]]*Tblsales[[#This Row],[Units]]</f>
        <v>3095.3999999999996</v>
      </c>
      <c r="L108" s="3">
        <f>Tblsales[[#This Row],[Gross Sales]]-Tblsales[[#This Row],[Units]]*Tblsales[[#This Row],[Cost_per_unit]]-Tblsales[[#This Row],[Gross Sales]]*Tblsales[[#This Row],[Discount]]</f>
        <v>-980.20999999999958</v>
      </c>
      <c r="M108" s="3">
        <f>Tblsales[[#This Row],[Profit]]/Tblsales[[#This Row],[Net_Sales]]</f>
        <v>-0.46341463414634126</v>
      </c>
      <c r="N108" s="2">
        <f>EOMONTH(Tblsales[[#This Row],[Date]],-1)+1</f>
        <v>44927</v>
      </c>
      <c r="O108" s="3" t="str">
        <f t="shared" si="7"/>
        <v>Accessories</v>
      </c>
    </row>
    <row r="109" spans="1:15" x14ac:dyDescent="0.3">
      <c r="A109" s="2">
        <v>44990</v>
      </c>
      <c r="B109" t="s">
        <v>8</v>
      </c>
      <c r="C109" t="s">
        <v>10</v>
      </c>
      <c r="D109">
        <v>31</v>
      </c>
      <c r="E109" s="3">
        <v>64</v>
      </c>
      <c r="F109" s="3">
        <f t="shared" si="6"/>
        <v>1984</v>
      </c>
      <c r="G109" s="6">
        <v>0.85</v>
      </c>
      <c r="H109" s="11">
        <f>Tblsales[[#This Row],[Gross Sales]]*(1-Tblsales[[#This Row],[Discount]])</f>
        <v>297.60000000000002</v>
      </c>
      <c r="I109" s="11">
        <f>Tblsales[[#This Row],[Gross Sales]]*Tblsales[[#This Row],[Discount]]</f>
        <v>1686.3999999999999</v>
      </c>
      <c r="J109" s="3">
        <v>9.6000000000000014</v>
      </c>
      <c r="K109" s="3">
        <f>Tblsales[[#This Row],[Cost_per_unit]]*Tblsales[[#This Row],[Units]]</f>
        <v>297.60000000000002</v>
      </c>
      <c r="L109" s="3">
        <f>Tblsales[[#This Row],[Gross Sales]]-Tblsales[[#This Row],[Units]]*Tblsales[[#This Row],[Cost_per_unit]]-Tblsales[[#This Row],[Gross Sales]]*Tblsales[[#This Row],[Discount]]</f>
        <v>0</v>
      </c>
      <c r="M109" s="3">
        <f>Tblsales[[#This Row],[Profit]]/Tblsales[[#This Row],[Net_Sales]]</f>
        <v>0</v>
      </c>
      <c r="N109" s="2">
        <f>EOMONTH(Tblsales[[#This Row],[Date]],-1)+1</f>
        <v>44986</v>
      </c>
      <c r="O109" s="3" t="str">
        <f t="shared" si="7"/>
        <v>Sports</v>
      </c>
    </row>
    <row r="110" spans="1:15" x14ac:dyDescent="0.3">
      <c r="A110" s="2">
        <v>44957</v>
      </c>
      <c r="B110" t="s">
        <v>15</v>
      </c>
      <c r="C110" t="s">
        <v>4</v>
      </c>
      <c r="D110">
        <v>48</v>
      </c>
      <c r="E110" s="3">
        <v>53</v>
      </c>
      <c r="F110" s="3">
        <f t="shared" si="6"/>
        <v>2544</v>
      </c>
      <c r="G110" s="6">
        <v>0.39</v>
      </c>
      <c r="H110" s="11">
        <f>Tblsales[[#This Row],[Gross Sales]]*(1-Tblsales[[#This Row],[Discount]])</f>
        <v>1551.84</v>
      </c>
      <c r="I110" s="11">
        <f>Tblsales[[#This Row],[Gross Sales]]*Tblsales[[#This Row],[Discount]]</f>
        <v>992.16000000000008</v>
      </c>
      <c r="J110" s="3">
        <v>21.73</v>
      </c>
      <c r="K110" s="3">
        <f>Tblsales[[#This Row],[Cost_per_unit]]*Tblsales[[#This Row],[Units]]</f>
        <v>1043.04</v>
      </c>
      <c r="L110" s="3">
        <f>Tblsales[[#This Row],[Gross Sales]]-Tblsales[[#This Row],[Units]]*Tblsales[[#This Row],[Cost_per_unit]]-Tblsales[[#This Row],[Gross Sales]]*Tblsales[[#This Row],[Discount]]</f>
        <v>508.79999999999995</v>
      </c>
      <c r="M110" s="3">
        <f>Tblsales[[#This Row],[Profit]]/Tblsales[[#This Row],[Net_Sales]]</f>
        <v>0.32786885245901637</v>
      </c>
      <c r="N110" s="2">
        <f>EOMONTH(Tblsales[[#This Row],[Date]],-1)+1</f>
        <v>44927</v>
      </c>
      <c r="O110" s="3" t="str">
        <f t="shared" si="7"/>
        <v>Stationery</v>
      </c>
    </row>
    <row r="111" spans="1:15" x14ac:dyDescent="0.3">
      <c r="A111" s="2">
        <v>45006</v>
      </c>
      <c r="B111" t="s">
        <v>9</v>
      </c>
      <c r="C111" t="s">
        <v>20</v>
      </c>
      <c r="D111">
        <v>145</v>
      </c>
      <c r="E111" s="3">
        <v>81</v>
      </c>
      <c r="F111" s="3">
        <f t="shared" si="6"/>
        <v>11745</v>
      </c>
      <c r="G111" s="6">
        <v>0.88</v>
      </c>
      <c r="H111" s="11">
        <f>Tblsales[[#This Row],[Gross Sales]]*(1-Tblsales[[#This Row],[Discount]])</f>
        <v>1409.3999999999999</v>
      </c>
      <c r="I111" s="11">
        <f>Tblsales[[#This Row],[Gross Sales]]*Tblsales[[#This Row],[Discount]]</f>
        <v>10335.6</v>
      </c>
      <c r="J111" s="3">
        <v>25.110000000000003</v>
      </c>
      <c r="K111" s="3">
        <f>Tblsales[[#This Row],[Cost_per_unit]]*Tblsales[[#This Row],[Units]]</f>
        <v>3640.9500000000003</v>
      </c>
      <c r="L111" s="3">
        <f>Tblsales[[#This Row],[Gross Sales]]-Tblsales[[#This Row],[Units]]*Tblsales[[#This Row],[Cost_per_unit]]-Tblsales[[#This Row],[Gross Sales]]*Tblsales[[#This Row],[Discount]]</f>
        <v>-2231.5500000000011</v>
      </c>
      <c r="M111" s="3">
        <f>Tblsales[[#This Row],[Profit]]/Tblsales[[#This Row],[Net_Sales]]</f>
        <v>-1.5833333333333344</v>
      </c>
      <c r="N111" s="2">
        <f>EOMONTH(Tblsales[[#This Row],[Date]],-1)+1</f>
        <v>44986</v>
      </c>
      <c r="O111" s="3" t="str">
        <f t="shared" si="7"/>
        <v>Accessories</v>
      </c>
    </row>
    <row r="112" spans="1:15" x14ac:dyDescent="0.3">
      <c r="A112" s="2">
        <v>44958</v>
      </c>
      <c r="B112" t="s">
        <v>14</v>
      </c>
      <c r="C112" t="s">
        <v>6</v>
      </c>
      <c r="D112">
        <v>173</v>
      </c>
      <c r="E112" s="3">
        <v>33</v>
      </c>
      <c r="F112" s="3">
        <f t="shared" si="6"/>
        <v>5709</v>
      </c>
      <c r="G112" s="6">
        <v>0.33</v>
      </c>
      <c r="H112" s="11">
        <f>Tblsales[[#This Row],[Gross Sales]]*(1-Tblsales[[#This Row],[Discount]])</f>
        <v>3825.0299999999997</v>
      </c>
      <c r="I112" s="11">
        <f>Tblsales[[#This Row],[Gross Sales]]*Tblsales[[#This Row],[Discount]]</f>
        <v>1883.97</v>
      </c>
      <c r="J112" s="3">
        <v>22.11</v>
      </c>
      <c r="K112" s="3">
        <f>Tblsales[[#This Row],[Cost_per_unit]]*Tblsales[[#This Row],[Units]]</f>
        <v>3825.0299999999997</v>
      </c>
      <c r="L112" s="3">
        <f>Tblsales[[#This Row],[Gross Sales]]-Tblsales[[#This Row],[Units]]*Tblsales[[#This Row],[Cost_per_unit]]-Tblsales[[#This Row],[Gross Sales]]*Tblsales[[#This Row],[Discount]]</f>
        <v>0</v>
      </c>
      <c r="M112" s="3">
        <f>Tblsales[[#This Row],[Profit]]/Tblsales[[#This Row],[Net_Sales]]</f>
        <v>0</v>
      </c>
      <c r="N112" s="2">
        <f>EOMONTH(Tblsales[[#This Row],[Date]],-1)+1</f>
        <v>44958</v>
      </c>
      <c r="O112" s="3" t="str">
        <f t="shared" si="7"/>
        <v>Stationery</v>
      </c>
    </row>
    <row r="113" spans="1:15" x14ac:dyDescent="0.3">
      <c r="A113" s="2">
        <v>45007</v>
      </c>
      <c r="B113" t="s">
        <v>9</v>
      </c>
      <c r="C113" t="s">
        <v>18</v>
      </c>
      <c r="D113">
        <v>185</v>
      </c>
      <c r="E113" s="3">
        <v>50</v>
      </c>
      <c r="F113" s="3">
        <f t="shared" si="6"/>
        <v>9250</v>
      </c>
      <c r="G113" s="6">
        <v>0.22</v>
      </c>
      <c r="H113" s="11">
        <f>Tblsales[[#This Row],[Gross Sales]]*(1-Tblsales[[#This Row],[Discount]])</f>
        <v>7215</v>
      </c>
      <c r="I113" s="11">
        <f>Tblsales[[#This Row],[Gross Sales]]*Tblsales[[#This Row],[Discount]]</f>
        <v>2035</v>
      </c>
      <c r="J113" s="3">
        <v>7.5000000000000009</v>
      </c>
      <c r="K113" s="3">
        <f>Tblsales[[#This Row],[Cost_per_unit]]*Tblsales[[#This Row],[Units]]</f>
        <v>1387.5000000000002</v>
      </c>
      <c r="L113" s="3">
        <f>Tblsales[[#This Row],[Gross Sales]]-Tblsales[[#This Row],[Units]]*Tblsales[[#This Row],[Cost_per_unit]]-Tblsales[[#This Row],[Gross Sales]]*Tblsales[[#This Row],[Discount]]</f>
        <v>5827.5</v>
      </c>
      <c r="M113" s="3">
        <f>Tblsales[[#This Row],[Profit]]/Tblsales[[#This Row],[Net_Sales]]</f>
        <v>0.80769230769230771</v>
      </c>
      <c r="N113" s="2">
        <f>EOMONTH(Tblsales[[#This Row],[Date]],-1)+1</f>
        <v>44986</v>
      </c>
      <c r="O113" s="3" t="str">
        <f t="shared" si="7"/>
        <v>Accessories</v>
      </c>
    </row>
    <row r="114" spans="1:15" x14ac:dyDescent="0.3">
      <c r="A114" s="2">
        <v>44929</v>
      </c>
      <c r="B114" t="s">
        <v>9</v>
      </c>
      <c r="C114" t="s">
        <v>19</v>
      </c>
      <c r="D114">
        <v>163</v>
      </c>
      <c r="E114" s="3">
        <v>74</v>
      </c>
      <c r="F114" s="3">
        <f t="shared" si="6"/>
        <v>12062</v>
      </c>
      <c r="G114" s="6">
        <v>0.86</v>
      </c>
      <c r="H114" s="11">
        <f>Tblsales[[#This Row],[Gross Sales]]*(1-Tblsales[[#This Row],[Discount]])</f>
        <v>1688.68</v>
      </c>
      <c r="I114" s="11">
        <f>Tblsales[[#This Row],[Gross Sales]]*Tblsales[[#This Row],[Discount]]</f>
        <v>10373.32</v>
      </c>
      <c r="J114" s="3">
        <v>45.14</v>
      </c>
      <c r="K114" s="3">
        <f>Tblsales[[#This Row],[Cost_per_unit]]*Tblsales[[#This Row],[Units]]</f>
        <v>7357.82</v>
      </c>
      <c r="L114" s="3">
        <f>Tblsales[[#This Row],[Gross Sales]]-Tblsales[[#This Row],[Units]]*Tblsales[[#This Row],[Cost_per_unit]]-Tblsales[[#This Row],[Gross Sales]]*Tblsales[[#This Row],[Discount]]</f>
        <v>-5669.1399999999994</v>
      </c>
      <c r="M114" s="3">
        <f>Tblsales[[#This Row],[Profit]]/Tblsales[[#This Row],[Net_Sales]]</f>
        <v>-3.3571428571428568</v>
      </c>
      <c r="N114" s="2">
        <f>EOMONTH(Tblsales[[#This Row],[Date]],-1)+1</f>
        <v>44927</v>
      </c>
      <c r="O114" s="3" t="str">
        <f t="shared" si="7"/>
        <v>Sports</v>
      </c>
    </row>
    <row r="115" spans="1:15" x14ac:dyDescent="0.3">
      <c r="A115" s="2">
        <v>44930</v>
      </c>
      <c r="B115" t="s">
        <v>14</v>
      </c>
      <c r="C115" t="s">
        <v>19</v>
      </c>
      <c r="D115">
        <v>114</v>
      </c>
      <c r="E115" s="3">
        <v>85</v>
      </c>
      <c r="F115" s="3">
        <f t="shared" si="6"/>
        <v>9690</v>
      </c>
      <c r="G115" s="6">
        <v>0.39</v>
      </c>
      <c r="H115" s="11">
        <f>Tblsales[[#This Row],[Gross Sales]]*(1-Tblsales[[#This Row],[Discount]])</f>
        <v>5910.9</v>
      </c>
      <c r="I115" s="11">
        <f>Tblsales[[#This Row],[Gross Sales]]*Tblsales[[#This Row],[Discount]]</f>
        <v>3779.1</v>
      </c>
      <c r="J115" s="3">
        <v>33.15</v>
      </c>
      <c r="K115" s="3">
        <f>Tblsales[[#This Row],[Cost_per_unit]]*Tblsales[[#This Row],[Units]]</f>
        <v>3779.1</v>
      </c>
      <c r="L115" s="3">
        <f>Tblsales[[#This Row],[Gross Sales]]-Tblsales[[#This Row],[Units]]*Tblsales[[#This Row],[Cost_per_unit]]-Tblsales[[#This Row],[Gross Sales]]*Tblsales[[#This Row],[Discount]]</f>
        <v>2131.7999999999997</v>
      </c>
      <c r="M115" s="3">
        <f>Tblsales[[#This Row],[Profit]]/Tblsales[[#This Row],[Net_Sales]]</f>
        <v>0.36065573770491799</v>
      </c>
      <c r="N115" s="2">
        <f>EOMONTH(Tblsales[[#This Row],[Date]],-1)+1</f>
        <v>44927</v>
      </c>
      <c r="O115" s="3" t="str">
        <f t="shared" si="7"/>
        <v>Sports</v>
      </c>
    </row>
    <row r="116" spans="1:15" x14ac:dyDescent="0.3">
      <c r="A116" s="2">
        <v>44955</v>
      </c>
      <c r="B116" t="s">
        <v>8</v>
      </c>
      <c r="C116" t="s">
        <v>10</v>
      </c>
      <c r="D116">
        <v>151</v>
      </c>
      <c r="E116" s="3">
        <v>33</v>
      </c>
      <c r="F116" s="3">
        <f t="shared" ref="F116:F147" si="8">D116*E116</f>
        <v>4983</v>
      </c>
      <c r="G116" s="6">
        <v>0.87</v>
      </c>
      <c r="H116" s="11">
        <f>Tblsales[[#This Row],[Gross Sales]]*(1-Tblsales[[#This Row],[Discount]])</f>
        <v>647.79000000000008</v>
      </c>
      <c r="I116" s="11">
        <f>Tblsales[[#This Row],[Gross Sales]]*Tblsales[[#This Row],[Discount]]</f>
        <v>4335.21</v>
      </c>
      <c r="J116" s="3">
        <v>11.219999999999999</v>
      </c>
      <c r="K116" s="3">
        <f>Tblsales[[#This Row],[Cost_per_unit]]*Tblsales[[#This Row],[Units]]</f>
        <v>1694.2199999999998</v>
      </c>
      <c r="L116" s="3">
        <f>Tblsales[[#This Row],[Gross Sales]]-Tblsales[[#This Row],[Units]]*Tblsales[[#This Row],[Cost_per_unit]]-Tblsales[[#This Row],[Gross Sales]]*Tblsales[[#This Row],[Discount]]</f>
        <v>-1046.4299999999998</v>
      </c>
      <c r="M116" s="3">
        <f>Tblsales[[#This Row],[Profit]]/Tblsales[[#This Row],[Net_Sales]]</f>
        <v>-1.615384615384615</v>
      </c>
      <c r="N116" s="2">
        <f>EOMONTH(Tblsales[[#This Row],[Date]],-1)+1</f>
        <v>44927</v>
      </c>
      <c r="O116" s="3" t="str">
        <f t="shared" si="7"/>
        <v>Sports</v>
      </c>
    </row>
    <row r="117" spans="1:15" x14ac:dyDescent="0.3">
      <c r="A117" s="2">
        <v>44982</v>
      </c>
      <c r="B117" t="s">
        <v>15</v>
      </c>
      <c r="C117" t="s">
        <v>4</v>
      </c>
      <c r="D117">
        <v>115</v>
      </c>
      <c r="E117" s="3">
        <v>71</v>
      </c>
      <c r="F117" s="3">
        <f t="shared" si="8"/>
        <v>8165</v>
      </c>
      <c r="G117" s="6">
        <v>0.55000000000000004</v>
      </c>
      <c r="H117" s="11">
        <f>Tblsales[[#This Row],[Gross Sales]]*(1-Tblsales[[#This Row],[Discount]])</f>
        <v>3674.2499999999995</v>
      </c>
      <c r="I117" s="11">
        <f>Tblsales[[#This Row],[Gross Sales]]*Tblsales[[#This Row],[Discount]]</f>
        <v>4490.75</v>
      </c>
      <c r="J117" s="3">
        <v>19.170000000000002</v>
      </c>
      <c r="K117" s="3">
        <f>Tblsales[[#This Row],[Cost_per_unit]]*Tblsales[[#This Row],[Units]]</f>
        <v>2204.5500000000002</v>
      </c>
      <c r="L117" s="3">
        <f>Tblsales[[#This Row],[Gross Sales]]-Tblsales[[#This Row],[Units]]*Tblsales[[#This Row],[Cost_per_unit]]-Tblsales[[#This Row],[Gross Sales]]*Tblsales[[#This Row],[Discount]]</f>
        <v>1469.6999999999998</v>
      </c>
      <c r="M117" s="3">
        <f>Tblsales[[#This Row],[Profit]]/Tblsales[[#This Row],[Net_Sales]]</f>
        <v>0.4</v>
      </c>
      <c r="N117" s="2">
        <f>EOMONTH(Tblsales[[#This Row],[Date]],-1)+1</f>
        <v>44958</v>
      </c>
      <c r="O117" s="3" t="str">
        <f t="shared" si="7"/>
        <v>Stationery</v>
      </c>
    </row>
    <row r="118" spans="1:15" x14ac:dyDescent="0.3">
      <c r="A118" s="2">
        <v>44982</v>
      </c>
      <c r="B118" t="s">
        <v>15</v>
      </c>
      <c r="C118" t="s">
        <v>16</v>
      </c>
      <c r="D118">
        <v>104</v>
      </c>
      <c r="E118" s="3">
        <v>40</v>
      </c>
      <c r="F118" s="3">
        <f t="shared" si="8"/>
        <v>4160</v>
      </c>
      <c r="G118" s="6">
        <v>0.5</v>
      </c>
      <c r="H118" s="11">
        <f>Tblsales[[#This Row],[Gross Sales]]*(1-Tblsales[[#This Row],[Discount]])</f>
        <v>2080</v>
      </c>
      <c r="I118" s="11">
        <f>Tblsales[[#This Row],[Gross Sales]]*Tblsales[[#This Row],[Discount]]</f>
        <v>2080</v>
      </c>
      <c r="J118" s="3">
        <v>7.200000000000002</v>
      </c>
      <c r="K118" s="3">
        <f>Tblsales[[#This Row],[Cost_per_unit]]*Tblsales[[#This Row],[Units]]</f>
        <v>748.80000000000018</v>
      </c>
      <c r="L118" s="3">
        <f>Tblsales[[#This Row],[Gross Sales]]-Tblsales[[#This Row],[Units]]*Tblsales[[#This Row],[Cost_per_unit]]-Tblsales[[#This Row],[Gross Sales]]*Tblsales[[#This Row],[Discount]]</f>
        <v>1331.1999999999998</v>
      </c>
      <c r="M118" s="3">
        <f>Tblsales[[#This Row],[Profit]]/Tblsales[[#This Row],[Net_Sales]]</f>
        <v>0.6399999999999999</v>
      </c>
      <c r="N118" s="2">
        <f>EOMONTH(Tblsales[[#This Row],[Date]],-1)+1</f>
        <v>44958</v>
      </c>
      <c r="O118" s="3" t="str">
        <f t="shared" si="7"/>
        <v>Sports</v>
      </c>
    </row>
    <row r="119" spans="1:15" x14ac:dyDescent="0.3">
      <c r="A119" s="2">
        <v>45015</v>
      </c>
      <c r="B119" t="s">
        <v>15</v>
      </c>
      <c r="C119" t="s">
        <v>5</v>
      </c>
      <c r="D119">
        <v>28</v>
      </c>
      <c r="E119" s="3">
        <v>42</v>
      </c>
      <c r="F119" s="3">
        <f t="shared" si="8"/>
        <v>1176</v>
      </c>
      <c r="G119" s="6">
        <v>0.47</v>
      </c>
      <c r="H119" s="11">
        <f>Tblsales[[#This Row],[Gross Sales]]*(1-Tblsales[[#This Row],[Discount]])</f>
        <v>623.28000000000009</v>
      </c>
      <c r="I119" s="11">
        <f>Tblsales[[#This Row],[Gross Sales]]*Tblsales[[#This Row],[Discount]]</f>
        <v>552.71999999999991</v>
      </c>
      <c r="J119" s="3">
        <v>28.979999999999997</v>
      </c>
      <c r="K119" s="3">
        <f>Tblsales[[#This Row],[Cost_per_unit]]*Tblsales[[#This Row],[Units]]</f>
        <v>811.43999999999994</v>
      </c>
      <c r="L119" s="3">
        <f>Tblsales[[#This Row],[Gross Sales]]-Tblsales[[#This Row],[Units]]*Tblsales[[#This Row],[Cost_per_unit]]-Tblsales[[#This Row],[Gross Sales]]*Tblsales[[#This Row],[Discount]]</f>
        <v>-188.15999999999985</v>
      </c>
      <c r="M119" s="3">
        <f>Tblsales[[#This Row],[Profit]]/Tblsales[[#This Row],[Net_Sales]]</f>
        <v>-0.3018867924528299</v>
      </c>
      <c r="N119" s="2">
        <f>EOMONTH(Tblsales[[#This Row],[Date]],-1)+1</f>
        <v>44986</v>
      </c>
      <c r="O119" s="3" t="str">
        <f t="shared" si="7"/>
        <v>Stationery</v>
      </c>
    </row>
    <row r="120" spans="1:15" x14ac:dyDescent="0.3">
      <c r="A120" s="2">
        <v>44982</v>
      </c>
      <c r="B120" t="s">
        <v>14</v>
      </c>
      <c r="C120" t="s">
        <v>17</v>
      </c>
      <c r="D120">
        <v>131</v>
      </c>
      <c r="E120" s="3">
        <v>83</v>
      </c>
      <c r="F120" s="3">
        <f t="shared" si="8"/>
        <v>10873</v>
      </c>
      <c r="G120" s="6">
        <v>0.43</v>
      </c>
      <c r="H120" s="11">
        <f>Tblsales[[#This Row],[Gross Sales]]*(1-Tblsales[[#This Row],[Discount]])</f>
        <v>6197.6100000000006</v>
      </c>
      <c r="I120" s="11">
        <f>Tblsales[[#This Row],[Gross Sales]]*Tblsales[[#This Row],[Discount]]</f>
        <v>4675.3900000000003</v>
      </c>
      <c r="J120" s="3">
        <v>28.22</v>
      </c>
      <c r="K120" s="3">
        <f>Tblsales[[#This Row],[Cost_per_unit]]*Tblsales[[#This Row],[Units]]</f>
        <v>3696.8199999999997</v>
      </c>
      <c r="L120" s="3">
        <f>Tblsales[[#This Row],[Gross Sales]]-Tblsales[[#This Row],[Units]]*Tblsales[[#This Row],[Cost_per_unit]]-Tblsales[[#This Row],[Gross Sales]]*Tblsales[[#This Row],[Discount]]</f>
        <v>2500.79</v>
      </c>
      <c r="M120" s="3">
        <f>Tblsales[[#This Row],[Profit]]/Tblsales[[#This Row],[Net_Sales]]</f>
        <v>0.40350877192982454</v>
      </c>
      <c r="N120" s="2">
        <f>EOMONTH(Tblsales[[#This Row],[Date]],-1)+1</f>
        <v>44958</v>
      </c>
      <c r="O120" s="3" t="str">
        <f t="shared" si="7"/>
        <v>Accessories</v>
      </c>
    </row>
    <row r="121" spans="1:15" x14ac:dyDescent="0.3">
      <c r="A121" s="2">
        <v>44931</v>
      </c>
      <c r="B121" t="s">
        <v>8</v>
      </c>
      <c r="C121" t="s">
        <v>6</v>
      </c>
      <c r="D121">
        <v>33</v>
      </c>
      <c r="E121" s="3">
        <v>40</v>
      </c>
      <c r="F121" s="3">
        <f t="shared" si="8"/>
        <v>1320</v>
      </c>
      <c r="G121" s="6">
        <v>0.27</v>
      </c>
      <c r="H121" s="11">
        <f>Tblsales[[#This Row],[Gross Sales]]*(1-Tblsales[[#This Row],[Discount]])</f>
        <v>963.6</v>
      </c>
      <c r="I121" s="11">
        <f>Tblsales[[#This Row],[Gross Sales]]*Tblsales[[#This Row],[Discount]]</f>
        <v>356.40000000000003</v>
      </c>
      <c r="J121" s="3">
        <v>26.799999999999997</v>
      </c>
      <c r="K121" s="3">
        <f>Tblsales[[#This Row],[Cost_per_unit]]*Tblsales[[#This Row],[Units]]</f>
        <v>884.39999999999986</v>
      </c>
      <c r="L121" s="3">
        <f>Tblsales[[#This Row],[Gross Sales]]-Tblsales[[#This Row],[Units]]*Tblsales[[#This Row],[Cost_per_unit]]-Tblsales[[#This Row],[Gross Sales]]*Tblsales[[#This Row],[Discount]]</f>
        <v>79.200000000000102</v>
      </c>
      <c r="M121" s="3">
        <f>Tblsales[[#This Row],[Profit]]/Tblsales[[#This Row],[Net_Sales]]</f>
        <v>8.2191780821917915E-2</v>
      </c>
      <c r="N121" s="2">
        <f>EOMONTH(Tblsales[[#This Row],[Date]],-1)+1</f>
        <v>44927</v>
      </c>
      <c r="O121" s="3" t="str">
        <f t="shared" si="7"/>
        <v>Stationery</v>
      </c>
    </row>
    <row r="122" spans="1:15" x14ac:dyDescent="0.3">
      <c r="A122" s="2">
        <v>44997</v>
      </c>
      <c r="B122" t="s">
        <v>9</v>
      </c>
      <c r="C122" t="s">
        <v>10</v>
      </c>
      <c r="D122">
        <v>63</v>
      </c>
      <c r="E122" s="3">
        <v>78</v>
      </c>
      <c r="F122" s="3">
        <f t="shared" si="8"/>
        <v>4914</v>
      </c>
      <c r="G122" s="6">
        <v>0.75</v>
      </c>
      <c r="H122" s="11">
        <f>Tblsales[[#This Row],[Gross Sales]]*(1-Tblsales[[#This Row],[Discount]])</f>
        <v>1228.5</v>
      </c>
      <c r="I122" s="11">
        <f>Tblsales[[#This Row],[Gross Sales]]*Tblsales[[#This Row],[Discount]]</f>
        <v>3685.5</v>
      </c>
      <c r="J122" s="3">
        <v>12.480000000000002</v>
      </c>
      <c r="K122" s="3">
        <f>Tblsales[[#This Row],[Cost_per_unit]]*Tblsales[[#This Row],[Units]]</f>
        <v>786.24000000000012</v>
      </c>
      <c r="L122" s="3">
        <f>Tblsales[[#This Row],[Gross Sales]]-Tblsales[[#This Row],[Units]]*Tblsales[[#This Row],[Cost_per_unit]]-Tblsales[[#This Row],[Gross Sales]]*Tblsales[[#This Row],[Discount]]</f>
        <v>442.26000000000022</v>
      </c>
      <c r="M122" s="3">
        <f>Tblsales[[#This Row],[Profit]]/Tblsales[[#This Row],[Net_Sales]]</f>
        <v>0.36000000000000015</v>
      </c>
      <c r="N122" s="2">
        <f>EOMONTH(Tblsales[[#This Row],[Date]],-1)+1</f>
        <v>44986</v>
      </c>
      <c r="O122" s="3" t="str">
        <f t="shared" si="7"/>
        <v>Sports</v>
      </c>
    </row>
    <row r="123" spans="1:15" x14ac:dyDescent="0.3">
      <c r="A123" s="2">
        <v>44951</v>
      </c>
      <c r="B123" t="s">
        <v>14</v>
      </c>
      <c r="C123" t="s">
        <v>10</v>
      </c>
      <c r="D123">
        <v>54</v>
      </c>
      <c r="E123" s="3">
        <v>56</v>
      </c>
      <c r="F123" s="3">
        <f t="shared" si="8"/>
        <v>3024</v>
      </c>
      <c r="G123" s="6">
        <v>0.83</v>
      </c>
      <c r="H123" s="11">
        <f>Tblsales[[#This Row],[Gross Sales]]*(1-Tblsales[[#This Row],[Discount]])</f>
        <v>514.08000000000015</v>
      </c>
      <c r="I123" s="11">
        <f>Tblsales[[#This Row],[Gross Sales]]*Tblsales[[#This Row],[Discount]]</f>
        <v>2509.92</v>
      </c>
      <c r="J123" s="3">
        <v>26.88</v>
      </c>
      <c r="K123" s="3">
        <f>Tblsales[[#This Row],[Cost_per_unit]]*Tblsales[[#This Row],[Units]]</f>
        <v>1451.52</v>
      </c>
      <c r="L123" s="3">
        <f>Tblsales[[#This Row],[Gross Sales]]-Tblsales[[#This Row],[Units]]*Tblsales[[#This Row],[Cost_per_unit]]-Tblsales[[#This Row],[Gross Sales]]*Tblsales[[#This Row],[Discount]]</f>
        <v>-937.44</v>
      </c>
      <c r="M123" s="3">
        <f>Tblsales[[#This Row],[Profit]]/Tblsales[[#This Row],[Net_Sales]]</f>
        <v>-1.8235294117647054</v>
      </c>
      <c r="N123" s="2">
        <f>EOMONTH(Tblsales[[#This Row],[Date]],-1)+1</f>
        <v>44927</v>
      </c>
      <c r="O123" s="3" t="str">
        <f t="shared" si="7"/>
        <v>Sports</v>
      </c>
    </row>
    <row r="124" spans="1:15" x14ac:dyDescent="0.3">
      <c r="A124" s="2">
        <v>44935</v>
      </c>
      <c r="B124" t="s">
        <v>14</v>
      </c>
      <c r="C124" t="s">
        <v>21</v>
      </c>
      <c r="D124">
        <v>21</v>
      </c>
      <c r="E124" s="3">
        <v>30</v>
      </c>
      <c r="F124" s="3">
        <f t="shared" si="8"/>
        <v>630</v>
      </c>
      <c r="G124" s="6">
        <v>0.33</v>
      </c>
      <c r="H124" s="11">
        <f>Tblsales[[#This Row],[Gross Sales]]*(1-Tblsales[[#This Row],[Discount]])</f>
        <v>422.09999999999997</v>
      </c>
      <c r="I124" s="11">
        <f>Tblsales[[#This Row],[Gross Sales]]*Tblsales[[#This Row],[Discount]]</f>
        <v>207.9</v>
      </c>
      <c r="J124" s="3">
        <v>2.9999999999999991</v>
      </c>
      <c r="K124" s="3">
        <f>Tblsales[[#This Row],[Cost_per_unit]]*Tblsales[[#This Row],[Units]]</f>
        <v>62.999999999999979</v>
      </c>
      <c r="L124" s="3">
        <f>Tblsales[[#This Row],[Gross Sales]]-Tblsales[[#This Row],[Units]]*Tblsales[[#This Row],[Cost_per_unit]]-Tblsales[[#This Row],[Gross Sales]]*Tblsales[[#This Row],[Discount]]</f>
        <v>359.1</v>
      </c>
      <c r="M124" s="3">
        <f>Tblsales[[#This Row],[Profit]]/Tblsales[[#This Row],[Net_Sales]]</f>
        <v>0.85074626865671654</v>
      </c>
      <c r="N124" s="2">
        <f>EOMONTH(Tblsales[[#This Row],[Date]],-1)+1</f>
        <v>44927</v>
      </c>
      <c r="O124" s="3" t="str">
        <f t="shared" si="7"/>
        <v>Accessories</v>
      </c>
    </row>
    <row r="125" spans="1:15" x14ac:dyDescent="0.3">
      <c r="A125" s="2">
        <v>44988</v>
      </c>
      <c r="B125" t="s">
        <v>8</v>
      </c>
      <c r="C125" t="s">
        <v>18</v>
      </c>
      <c r="D125">
        <v>192</v>
      </c>
      <c r="E125" s="3">
        <v>86</v>
      </c>
      <c r="F125" s="3">
        <f t="shared" si="8"/>
        <v>16512</v>
      </c>
      <c r="G125" s="6">
        <v>0.48</v>
      </c>
      <c r="H125" s="11">
        <f>Tblsales[[#This Row],[Gross Sales]]*(1-Tblsales[[#This Row],[Discount]])</f>
        <v>8586.24</v>
      </c>
      <c r="I125" s="11">
        <f>Tblsales[[#This Row],[Gross Sales]]*Tblsales[[#This Row],[Discount]]</f>
        <v>7925.7599999999993</v>
      </c>
      <c r="J125" s="3">
        <v>12.900000000000002</v>
      </c>
      <c r="K125" s="3">
        <f>Tblsales[[#This Row],[Cost_per_unit]]*Tblsales[[#This Row],[Units]]</f>
        <v>2476.8000000000002</v>
      </c>
      <c r="L125" s="3">
        <f>Tblsales[[#This Row],[Gross Sales]]-Tblsales[[#This Row],[Units]]*Tblsales[[#This Row],[Cost_per_unit]]-Tblsales[[#This Row],[Gross Sales]]*Tblsales[[#This Row],[Discount]]</f>
        <v>6109.4400000000014</v>
      </c>
      <c r="M125" s="3">
        <f>Tblsales[[#This Row],[Profit]]/Tblsales[[#This Row],[Net_Sales]]</f>
        <v>0.71153846153846168</v>
      </c>
      <c r="N125" s="2">
        <f>EOMONTH(Tblsales[[#This Row],[Date]],-1)+1</f>
        <v>44986</v>
      </c>
      <c r="O125" s="3" t="str">
        <f t="shared" si="7"/>
        <v>Accessories</v>
      </c>
    </row>
    <row r="126" spans="1:15" x14ac:dyDescent="0.3">
      <c r="A126" s="2">
        <v>45007</v>
      </c>
      <c r="B126" t="s">
        <v>14</v>
      </c>
      <c r="C126" t="s">
        <v>17</v>
      </c>
      <c r="D126">
        <v>167</v>
      </c>
      <c r="E126" s="3">
        <v>65</v>
      </c>
      <c r="F126" s="3">
        <f t="shared" si="8"/>
        <v>10855</v>
      </c>
      <c r="G126" s="6">
        <v>0.66</v>
      </c>
      <c r="H126" s="11">
        <f>Tblsales[[#This Row],[Gross Sales]]*(1-Tblsales[[#This Row],[Discount]])</f>
        <v>3690.7</v>
      </c>
      <c r="I126" s="11">
        <f>Tblsales[[#This Row],[Gross Sales]]*Tblsales[[#This Row],[Discount]]</f>
        <v>7164.3</v>
      </c>
      <c r="J126" s="3">
        <v>11.050000000000002</v>
      </c>
      <c r="K126" s="3">
        <f>Tblsales[[#This Row],[Cost_per_unit]]*Tblsales[[#This Row],[Units]]</f>
        <v>1845.3500000000004</v>
      </c>
      <c r="L126" s="3">
        <f>Tblsales[[#This Row],[Gross Sales]]-Tblsales[[#This Row],[Units]]*Tblsales[[#This Row],[Cost_per_unit]]-Tblsales[[#This Row],[Gross Sales]]*Tblsales[[#This Row],[Discount]]</f>
        <v>1845.3499999999995</v>
      </c>
      <c r="M126" s="3">
        <f>Tblsales[[#This Row],[Profit]]/Tblsales[[#This Row],[Net_Sales]]</f>
        <v>0.49999999999999989</v>
      </c>
      <c r="N126" s="2">
        <f>EOMONTH(Tblsales[[#This Row],[Date]],-1)+1</f>
        <v>44986</v>
      </c>
      <c r="O126" s="3" t="str">
        <f t="shared" si="7"/>
        <v>Accessories</v>
      </c>
    </row>
    <row r="127" spans="1:15" x14ac:dyDescent="0.3">
      <c r="A127" s="2">
        <v>44996</v>
      </c>
      <c r="B127" t="s">
        <v>15</v>
      </c>
      <c r="C127" t="s">
        <v>21</v>
      </c>
      <c r="D127">
        <v>31</v>
      </c>
      <c r="E127" s="3">
        <v>43</v>
      </c>
      <c r="F127" s="3">
        <f t="shared" si="8"/>
        <v>1333</v>
      </c>
      <c r="G127" s="6">
        <v>0.78</v>
      </c>
      <c r="H127" s="11">
        <f>Tblsales[[#This Row],[Gross Sales]]*(1-Tblsales[[#This Row],[Discount]])</f>
        <v>293.26</v>
      </c>
      <c r="I127" s="11">
        <f>Tblsales[[#This Row],[Gross Sales]]*Tblsales[[#This Row],[Discount]]</f>
        <v>1039.74</v>
      </c>
      <c r="J127" s="3">
        <v>22.790000000000003</v>
      </c>
      <c r="K127" s="3">
        <f>Tblsales[[#This Row],[Cost_per_unit]]*Tblsales[[#This Row],[Units]]</f>
        <v>706.49000000000012</v>
      </c>
      <c r="L127" s="3">
        <f>Tblsales[[#This Row],[Gross Sales]]-Tblsales[[#This Row],[Units]]*Tblsales[[#This Row],[Cost_per_unit]]-Tblsales[[#This Row],[Gross Sales]]*Tblsales[[#This Row],[Discount]]</f>
        <v>-413.23000000000013</v>
      </c>
      <c r="M127" s="3">
        <f>Tblsales[[#This Row],[Profit]]/Tblsales[[#This Row],[Net_Sales]]</f>
        <v>-1.4090909090909096</v>
      </c>
      <c r="N127" s="2">
        <f>EOMONTH(Tblsales[[#This Row],[Date]],-1)+1</f>
        <v>44986</v>
      </c>
      <c r="O127" s="3" t="str">
        <f t="shared" si="7"/>
        <v>Accessories</v>
      </c>
    </row>
    <row r="128" spans="1:15" x14ac:dyDescent="0.3">
      <c r="A128" s="2">
        <v>45008</v>
      </c>
      <c r="B128" t="s">
        <v>15</v>
      </c>
      <c r="C128" t="s">
        <v>17</v>
      </c>
      <c r="D128">
        <v>21</v>
      </c>
      <c r="E128" s="3">
        <v>34</v>
      </c>
      <c r="F128" s="3">
        <f t="shared" si="8"/>
        <v>714</v>
      </c>
      <c r="G128" s="6">
        <v>0.28999999999999998</v>
      </c>
      <c r="H128" s="11">
        <f>Tblsales[[#This Row],[Gross Sales]]*(1-Tblsales[[#This Row],[Discount]])</f>
        <v>506.94</v>
      </c>
      <c r="I128" s="11">
        <f>Tblsales[[#This Row],[Gross Sales]]*Tblsales[[#This Row],[Discount]]</f>
        <v>207.05999999999997</v>
      </c>
      <c r="J128" s="3">
        <v>5.7800000000000011</v>
      </c>
      <c r="K128" s="3">
        <f>Tblsales[[#This Row],[Cost_per_unit]]*Tblsales[[#This Row],[Units]]</f>
        <v>121.38000000000002</v>
      </c>
      <c r="L128" s="3">
        <f>Tblsales[[#This Row],[Gross Sales]]-Tblsales[[#This Row],[Units]]*Tblsales[[#This Row],[Cost_per_unit]]-Tblsales[[#This Row],[Gross Sales]]*Tblsales[[#This Row],[Discount]]</f>
        <v>385.56000000000006</v>
      </c>
      <c r="M128" s="3">
        <f>Tblsales[[#This Row],[Profit]]/Tblsales[[#This Row],[Net_Sales]]</f>
        <v>0.76056338028169024</v>
      </c>
      <c r="N128" s="2">
        <f>EOMONTH(Tblsales[[#This Row],[Date]],-1)+1</f>
        <v>44986</v>
      </c>
      <c r="O128" s="3" t="str">
        <f t="shared" si="7"/>
        <v>Accessories</v>
      </c>
    </row>
    <row r="129" spans="1:15" x14ac:dyDescent="0.3">
      <c r="A129" s="2">
        <v>44930</v>
      </c>
      <c r="B129" t="s">
        <v>9</v>
      </c>
      <c r="C129" t="s">
        <v>19</v>
      </c>
      <c r="D129">
        <v>147</v>
      </c>
      <c r="E129" s="3">
        <v>42</v>
      </c>
      <c r="F129" s="3">
        <f t="shared" si="8"/>
        <v>6174</v>
      </c>
      <c r="G129" s="6">
        <v>0.44</v>
      </c>
      <c r="H129" s="11">
        <f>Tblsales[[#This Row],[Gross Sales]]*(1-Tblsales[[#This Row],[Discount]])</f>
        <v>3457.4400000000005</v>
      </c>
      <c r="I129" s="11">
        <f>Tblsales[[#This Row],[Gross Sales]]*Tblsales[[#This Row],[Discount]]</f>
        <v>2716.56</v>
      </c>
      <c r="J129" s="3">
        <v>10.92</v>
      </c>
      <c r="K129" s="3">
        <f>Tblsales[[#This Row],[Cost_per_unit]]*Tblsales[[#This Row],[Units]]</f>
        <v>1605.24</v>
      </c>
      <c r="L129" s="3">
        <f>Tblsales[[#This Row],[Gross Sales]]-Tblsales[[#This Row],[Units]]*Tblsales[[#This Row],[Cost_per_unit]]-Tblsales[[#This Row],[Gross Sales]]*Tblsales[[#This Row],[Discount]]</f>
        <v>1852.2000000000003</v>
      </c>
      <c r="M129" s="3">
        <f>Tblsales[[#This Row],[Profit]]/Tblsales[[#This Row],[Net_Sales]]</f>
        <v>0.5357142857142857</v>
      </c>
      <c r="N129" s="2">
        <f>EOMONTH(Tblsales[[#This Row],[Date]],-1)+1</f>
        <v>44927</v>
      </c>
      <c r="O129" s="3" t="str">
        <f t="shared" si="7"/>
        <v>Sports</v>
      </c>
    </row>
    <row r="130" spans="1:15" x14ac:dyDescent="0.3">
      <c r="A130" s="2">
        <v>44996</v>
      </c>
      <c r="B130" t="s">
        <v>14</v>
      </c>
      <c r="C130" t="s">
        <v>18</v>
      </c>
      <c r="D130">
        <v>21</v>
      </c>
      <c r="E130" s="3">
        <v>52</v>
      </c>
      <c r="F130" s="3">
        <f t="shared" si="8"/>
        <v>1092</v>
      </c>
      <c r="G130" s="6">
        <v>0.28999999999999998</v>
      </c>
      <c r="H130" s="11">
        <f>Tblsales[[#This Row],[Gross Sales]]*(1-Tblsales[[#This Row],[Discount]])</f>
        <v>775.31999999999994</v>
      </c>
      <c r="I130" s="11">
        <f>Tblsales[[#This Row],[Gross Sales]]*Tblsales[[#This Row],[Discount]]</f>
        <v>316.67999999999995</v>
      </c>
      <c r="J130" s="3">
        <v>14.560000000000002</v>
      </c>
      <c r="K130" s="3">
        <f>Tblsales[[#This Row],[Cost_per_unit]]*Tblsales[[#This Row],[Units]]</f>
        <v>305.76000000000005</v>
      </c>
      <c r="L130" s="3">
        <f>Tblsales[[#This Row],[Gross Sales]]-Tblsales[[#This Row],[Units]]*Tblsales[[#This Row],[Cost_per_unit]]-Tblsales[[#This Row],[Gross Sales]]*Tblsales[[#This Row],[Discount]]</f>
        <v>469.56000000000006</v>
      </c>
      <c r="M130" s="3">
        <f>Tblsales[[#This Row],[Profit]]/Tblsales[[#This Row],[Net_Sales]]</f>
        <v>0.60563380281690149</v>
      </c>
      <c r="N130" s="2">
        <f>EOMONTH(Tblsales[[#This Row],[Date]],-1)+1</f>
        <v>44986</v>
      </c>
      <c r="O130" s="3" t="str">
        <f t="shared" ref="O130:O151" si="9">IF(OR(C130="Notebook",C130="Pen",C130="Marker"),"Stationery",
 IF(OR(C130="File Folder",C130="Stapler",C130="Calculator",C130="Glue Stick"),"Accessories","Sports"))</f>
        <v>Accessories</v>
      </c>
    </row>
    <row r="131" spans="1:15" x14ac:dyDescent="0.3">
      <c r="A131" s="2">
        <v>44942</v>
      </c>
      <c r="B131" t="s">
        <v>8</v>
      </c>
      <c r="C131" t="s">
        <v>6</v>
      </c>
      <c r="D131">
        <v>108</v>
      </c>
      <c r="E131" s="3">
        <v>43</v>
      </c>
      <c r="F131" s="3">
        <f t="shared" si="8"/>
        <v>4644</v>
      </c>
      <c r="G131" s="6">
        <v>0.38</v>
      </c>
      <c r="H131" s="11">
        <f>Tblsales[[#This Row],[Gross Sales]]*(1-Tblsales[[#This Row],[Discount]])</f>
        <v>2879.28</v>
      </c>
      <c r="I131" s="11">
        <f>Tblsales[[#This Row],[Gross Sales]]*Tblsales[[#This Row],[Discount]]</f>
        <v>1764.72</v>
      </c>
      <c r="J131" s="3">
        <v>21.93</v>
      </c>
      <c r="K131" s="3">
        <f>Tblsales[[#This Row],[Cost_per_unit]]*Tblsales[[#This Row],[Units]]</f>
        <v>2368.44</v>
      </c>
      <c r="L131" s="3">
        <f>Tblsales[[#This Row],[Gross Sales]]-Tblsales[[#This Row],[Units]]*Tblsales[[#This Row],[Cost_per_unit]]-Tblsales[[#This Row],[Gross Sales]]*Tblsales[[#This Row],[Discount]]</f>
        <v>510.83999999999992</v>
      </c>
      <c r="M131" s="3">
        <f>Tblsales[[#This Row],[Profit]]/Tblsales[[#This Row],[Net_Sales]]</f>
        <v>0.17741935483870963</v>
      </c>
      <c r="N131" s="2">
        <f>EOMONTH(Tblsales[[#This Row],[Date]],-1)+1</f>
        <v>44927</v>
      </c>
      <c r="O131" s="3" t="str">
        <f t="shared" si="9"/>
        <v>Stationery</v>
      </c>
    </row>
    <row r="132" spans="1:15" x14ac:dyDescent="0.3">
      <c r="A132" s="2">
        <v>44989</v>
      </c>
      <c r="B132" t="s">
        <v>15</v>
      </c>
      <c r="C132" t="s">
        <v>21</v>
      </c>
      <c r="D132">
        <v>62</v>
      </c>
      <c r="E132" s="3">
        <v>47</v>
      </c>
      <c r="F132" s="3">
        <f t="shared" si="8"/>
        <v>2914</v>
      </c>
      <c r="G132" s="6">
        <v>0.69</v>
      </c>
      <c r="H132" s="11">
        <f>Tblsales[[#This Row],[Gross Sales]]*(1-Tblsales[[#This Row],[Discount]])</f>
        <v>903.34000000000015</v>
      </c>
      <c r="I132" s="11">
        <f>Tblsales[[#This Row],[Gross Sales]]*Tblsales[[#This Row],[Discount]]</f>
        <v>2010.6599999999999</v>
      </c>
      <c r="J132" s="3">
        <v>27.260000000000005</v>
      </c>
      <c r="K132" s="3">
        <f>Tblsales[[#This Row],[Cost_per_unit]]*Tblsales[[#This Row],[Units]]</f>
        <v>1690.1200000000003</v>
      </c>
      <c r="L132" s="3">
        <f>Tblsales[[#This Row],[Gross Sales]]-Tblsales[[#This Row],[Units]]*Tblsales[[#This Row],[Cost_per_unit]]-Tblsales[[#This Row],[Gross Sales]]*Tblsales[[#This Row],[Discount]]</f>
        <v>-786.7800000000002</v>
      </c>
      <c r="M132" s="3">
        <f>Tblsales[[#This Row],[Profit]]/Tblsales[[#This Row],[Net_Sales]]</f>
        <v>-0.87096774193548399</v>
      </c>
      <c r="N132" s="2">
        <f>EOMONTH(Tblsales[[#This Row],[Date]],-1)+1</f>
        <v>44986</v>
      </c>
      <c r="O132" s="3" t="str">
        <f t="shared" si="9"/>
        <v>Accessories</v>
      </c>
    </row>
    <row r="133" spans="1:15" x14ac:dyDescent="0.3">
      <c r="A133" s="2">
        <v>44975</v>
      </c>
      <c r="B133" t="s">
        <v>8</v>
      </c>
      <c r="C133" t="s">
        <v>21</v>
      </c>
      <c r="D133">
        <v>50</v>
      </c>
      <c r="E133" s="3">
        <v>55</v>
      </c>
      <c r="F133" s="3">
        <f t="shared" si="8"/>
        <v>2750</v>
      </c>
      <c r="G133" s="6">
        <v>0.69</v>
      </c>
      <c r="H133" s="11">
        <f>Tblsales[[#This Row],[Gross Sales]]*(1-Tblsales[[#This Row],[Discount]])</f>
        <v>852.50000000000011</v>
      </c>
      <c r="I133" s="11">
        <f>Tblsales[[#This Row],[Gross Sales]]*Tblsales[[#This Row],[Discount]]</f>
        <v>1897.4999999999998</v>
      </c>
      <c r="J133" s="3">
        <v>33</v>
      </c>
      <c r="K133" s="3">
        <f>Tblsales[[#This Row],[Cost_per_unit]]*Tblsales[[#This Row],[Units]]</f>
        <v>1650</v>
      </c>
      <c r="L133" s="3">
        <f>Tblsales[[#This Row],[Gross Sales]]-Tblsales[[#This Row],[Units]]*Tblsales[[#This Row],[Cost_per_unit]]-Tblsales[[#This Row],[Gross Sales]]*Tblsales[[#This Row],[Discount]]</f>
        <v>-797.49999999999977</v>
      </c>
      <c r="M133" s="3">
        <f>Tblsales[[#This Row],[Profit]]/Tblsales[[#This Row],[Net_Sales]]</f>
        <v>-0.93548387096774155</v>
      </c>
      <c r="N133" s="2">
        <f>EOMONTH(Tblsales[[#This Row],[Date]],-1)+1</f>
        <v>44958</v>
      </c>
      <c r="O133" s="3" t="str">
        <f t="shared" si="9"/>
        <v>Accessories</v>
      </c>
    </row>
    <row r="134" spans="1:15" x14ac:dyDescent="0.3">
      <c r="A134" s="2">
        <v>45002</v>
      </c>
      <c r="B134" t="s">
        <v>8</v>
      </c>
      <c r="C134" t="s">
        <v>4</v>
      </c>
      <c r="D134">
        <v>137</v>
      </c>
      <c r="E134" s="3">
        <v>53</v>
      </c>
      <c r="F134" s="3">
        <f t="shared" si="8"/>
        <v>7261</v>
      </c>
      <c r="G134" s="6">
        <v>0.35</v>
      </c>
      <c r="H134" s="11">
        <f>Tblsales[[#This Row],[Gross Sales]]*(1-Tblsales[[#This Row],[Discount]])</f>
        <v>4719.6500000000005</v>
      </c>
      <c r="I134" s="11">
        <f>Tblsales[[#This Row],[Gross Sales]]*Tblsales[[#This Row],[Discount]]</f>
        <v>2541.35</v>
      </c>
      <c r="J134" s="3">
        <v>17.489999999999998</v>
      </c>
      <c r="K134" s="3">
        <f>Tblsales[[#This Row],[Cost_per_unit]]*Tblsales[[#This Row],[Units]]</f>
        <v>2396.1299999999997</v>
      </c>
      <c r="L134" s="3">
        <f>Tblsales[[#This Row],[Gross Sales]]-Tblsales[[#This Row],[Units]]*Tblsales[[#This Row],[Cost_per_unit]]-Tblsales[[#This Row],[Gross Sales]]*Tblsales[[#This Row],[Discount]]</f>
        <v>2323.5200000000009</v>
      </c>
      <c r="M134" s="3">
        <f>Tblsales[[#This Row],[Profit]]/Tblsales[[#This Row],[Net_Sales]]</f>
        <v>0.49230769230769245</v>
      </c>
      <c r="N134" s="2">
        <f>EOMONTH(Tblsales[[#This Row],[Date]],-1)+1</f>
        <v>44986</v>
      </c>
      <c r="O134" s="3" t="str">
        <f t="shared" si="9"/>
        <v>Stationery</v>
      </c>
    </row>
    <row r="135" spans="1:15" x14ac:dyDescent="0.3">
      <c r="A135" s="2">
        <v>44962</v>
      </c>
      <c r="B135" t="s">
        <v>15</v>
      </c>
      <c r="C135" t="s">
        <v>17</v>
      </c>
      <c r="D135">
        <v>123</v>
      </c>
      <c r="E135" s="3">
        <v>88</v>
      </c>
      <c r="F135" s="3">
        <f t="shared" si="8"/>
        <v>10824</v>
      </c>
      <c r="G135" s="6">
        <v>0.47</v>
      </c>
      <c r="H135" s="11">
        <f>Tblsales[[#This Row],[Gross Sales]]*(1-Tblsales[[#This Row],[Discount]])</f>
        <v>5736.72</v>
      </c>
      <c r="I135" s="11">
        <f>Tblsales[[#This Row],[Gross Sales]]*Tblsales[[#This Row],[Discount]]</f>
        <v>5087.28</v>
      </c>
      <c r="J135" s="3">
        <v>60.72</v>
      </c>
      <c r="K135" s="3">
        <f>Tblsales[[#This Row],[Cost_per_unit]]*Tblsales[[#This Row],[Units]]</f>
        <v>7468.5599999999995</v>
      </c>
      <c r="L135" s="3">
        <f>Tblsales[[#This Row],[Gross Sales]]-Tblsales[[#This Row],[Units]]*Tblsales[[#This Row],[Cost_per_unit]]-Tblsales[[#This Row],[Gross Sales]]*Tblsales[[#This Row],[Discount]]</f>
        <v>-1731.8399999999992</v>
      </c>
      <c r="M135" s="3">
        <f>Tblsales[[#This Row],[Profit]]/Tblsales[[#This Row],[Net_Sales]]</f>
        <v>-0.30188679245283007</v>
      </c>
      <c r="N135" s="2">
        <f>EOMONTH(Tblsales[[#This Row],[Date]],-1)+1</f>
        <v>44958</v>
      </c>
      <c r="O135" s="3" t="str">
        <f t="shared" si="9"/>
        <v>Accessories</v>
      </c>
    </row>
    <row r="136" spans="1:15" x14ac:dyDescent="0.3">
      <c r="A136" s="2">
        <v>45015</v>
      </c>
      <c r="B136" t="s">
        <v>14</v>
      </c>
      <c r="C136" t="s">
        <v>10</v>
      </c>
      <c r="D136">
        <v>74</v>
      </c>
      <c r="E136" s="3">
        <v>55</v>
      </c>
      <c r="F136" s="3">
        <f t="shared" si="8"/>
        <v>4070</v>
      </c>
      <c r="G136" s="6">
        <v>0.22</v>
      </c>
      <c r="H136" s="11">
        <f>Tblsales[[#This Row],[Gross Sales]]*(1-Tblsales[[#This Row],[Discount]])</f>
        <v>3174.6</v>
      </c>
      <c r="I136" s="11">
        <f>Tblsales[[#This Row],[Gross Sales]]*Tblsales[[#This Row],[Discount]]</f>
        <v>895.4</v>
      </c>
      <c r="J136" s="3">
        <v>27.5</v>
      </c>
      <c r="K136" s="3">
        <f>Tblsales[[#This Row],[Cost_per_unit]]*Tblsales[[#This Row],[Units]]</f>
        <v>2035</v>
      </c>
      <c r="L136" s="3">
        <f>Tblsales[[#This Row],[Gross Sales]]-Tblsales[[#This Row],[Units]]*Tblsales[[#This Row],[Cost_per_unit]]-Tblsales[[#This Row],[Gross Sales]]*Tblsales[[#This Row],[Discount]]</f>
        <v>1139.5999999999999</v>
      </c>
      <c r="M136" s="3">
        <f>Tblsales[[#This Row],[Profit]]/Tblsales[[#This Row],[Net_Sales]]</f>
        <v>0.35897435897435898</v>
      </c>
      <c r="N136" s="2">
        <f>EOMONTH(Tblsales[[#This Row],[Date]],-1)+1</f>
        <v>44986</v>
      </c>
      <c r="O136" s="3" t="str">
        <f t="shared" si="9"/>
        <v>Sports</v>
      </c>
    </row>
    <row r="137" spans="1:15" x14ac:dyDescent="0.3">
      <c r="A137" s="2">
        <v>44990</v>
      </c>
      <c r="B137" t="s">
        <v>14</v>
      </c>
      <c r="C137" t="s">
        <v>5</v>
      </c>
      <c r="D137">
        <v>98</v>
      </c>
      <c r="E137" s="3">
        <v>48</v>
      </c>
      <c r="F137" s="3">
        <f t="shared" si="8"/>
        <v>4704</v>
      </c>
      <c r="G137" s="6">
        <v>0.72</v>
      </c>
      <c r="H137" s="11">
        <f>Tblsales[[#This Row],[Gross Sales]]*(1-Tblsales[[#This Row],[Discount]])</f>
        <v>1317.1200000000001</v>
      </c>
      <c r="I137" s="11">
        <f>Tblsales[[#This Row],[Gross Sales]]*Tblsales[[#This Row],[Discount]]</f>
        <v>3386.8799999999997</v>
      </c>
      <c r="J137" s="3">
        <v>30.72</v>
      </c>
      <c r="K137" s="3">
        <f>Tblsales[[#This Row],[Cost_per_unit]]*Tblsales[[#This Row],[Units]]</f>
        <v>3010.56</v>
      </c>
      <c r="L137" s="3">
        <f>Tblsales[[#This Row],[Gross Sales]]-Tblsales[[#This Row],[Units]]*Tblsales[[#This Row],[Cost_per_unit]]-Tblsales[[#This Row],[Gross Sales]]*Tblsales[[#This Row],[Discount]]</f>
        <v>-1693.4399999999996</v>
      </c>
      <c r="M137" s="3">
        <f>Tblsales[[#This Row],[Profit]]/Tblsales[[#This Row],[Net_Sales]]</f>
        <v>-1.2857142857142854</v>
      </c>
      <c r="N137" s="2">
        <f>EOMONTH(Tblsales[[#This Row],[Date]],-1)+1</f>
        <v>44986</v>
      </c>
      <c r="O137" s="3" t="str">
        <f t="shared" si="9"/>
        <v>Stationery</v>
      </c>
    </row>
    <row r="138" spans="1:15" x14ac:dyDescent="0.3">
      <c r="A138" s="2">
        <v>44987</v>
      </c>
      <c r="B138" t="s">
        <v>8</v>
      </c>
      <c r="C138" t="s">
        <v>20</v>
      </c>
      <c r="D138">
        <v>159</v>
      </c>
      <c r="E138" s="3">
        <v>79</v>
      </c>
      <c r="F138" s="3">
        <f t="shared" si="8"/>
        <v>12561</v>
      </c>
      <c r="G138" s="6">
        <v>0.89</v>
      </c>
      <c r="H138" s="11">
        <f>Tblsales[[#This Row],[Gross Sales]]*(1-Tblsales[[#This Row],[Discount]])</f>
        <v>1381.7099999999998</v>
      </c>
      <c r="I138" s="11">
        <f>Tblsales[[#This Row],[Gross Sales]]*Tblsales[[#This Row],[Discount]]</f>
        <v>11179.29</v>
      </c>
      <c r="J138" s="3">
        <v>14.220000000000004</v>
      </c>
      <c r="K138" s="3">
        <f>Tblsales[[#This Row],[Cost_per_unit]]*Tblsales[[#This Row],[Units]]</f>
        <v>2260.9800000000005</v>
      </c>
      <c r="L138" s="3">
        <f>Tblsales[[#This Row],[Gross Sales]]-Tblsales[[#This Row],[Units]]*Tblsales[[#This Row],[Cost_per_unit]]-Tblsales[[#This Row],[Gross Sales]]*Tblsales[[#This Row],[Discount]]</f>
        <v>-879.27000000000044</v>
      </c>
      <c r="M138" s="3">
        <f>Tblsales[[#This Row],[Profit]]/Tblsales[[#This Row],[Net_Sales]]</f>
        <v>-0.6363636363636368</v>
      </c>
      <c r="N138" s="2">
        <f>EOMONTH(Tblsales[[#This Row],[Date]],-1)+1</f>
        <v>44986</v>
      </c>
      <c r="O138" s="3" t="str">
        <f t="shared" si="9"/>
        <v>Accessories</v>
      </c>
    </row>
    <row r="139" spans="1:15" x14ac:dyDescent="0.3">
      <c r="A139" s="2">
        <v>44990</v>
      </c>
      <c r="B139" t="s">
        <v>9</v>
      </c>
      <c r="C139" t="s">
        <v>4</v>
      </c>
      <c r="D139">
        <v>38</v>
      </c>
      <c r="E139" s="3">
        <v>88</v>
      </c>
      <c r="F139" s="3">
        <f t="shared" si="8"/>
        <v>3344</v>
      </c>
      <c r="G139" s="6">
        <v>0.57999999999999996</v>
      </c>
      <c r="H139" s="11">
        <f>Tblsales[[#This Row],[Gross Sales]]*(1-Tblsales[[#This Row],[Discount]])</f>
        <v>1404.4800000000002</v>
      </c>
      <c r="I139" s="11">
        <f>Tblsales[[#This Row],[Gross Sales]]*Tblsales[[#This Row],[Discount]]</f>
        <v>1939.5199999999998</v>
      </c>
      <c r="J139" s="3">
        <v>33.44</v>
      </c>
      <c r="K139" s="3">
        <f>Tblsales[[#This Row],[Cost_per_unit]]*Tblsales[[#This Row],[Units]]</f>
        <v>1270.7199999999998</v>
      </c>
      <c r="L139" s="3">
        <f>Tblsales[[#This Row],[Gross Sales]]-Tblsales[[#This Row],[Units]]*Tblsales[[#This Row],[Cost_per_unit]]-Tblsales[[#This Row],[Gross Sales]]*Tblsales[[#This Row],[Discount]]</f>
        <v>133.76000000000045</v>
      </c>
      <c r="M139" s="3">
        <f>Tblsales[[#This Row],[Profit]]/Tblsales[[#This Row],[Net_Sales]]</f>
        <v>9.5238095238095538E-2</v>
      </c>
      <c r="N139" s="2">
        <f>EOMONTH(Tblsales[[#This Row],[Date]],-1)+1</f>
        <v>44986</v>
      </c>
      <c r="O139" s="3" t="str">
        <f t="shared" si="9"/>
        <v>Stationery</v>
      </c>
    </row>
    <row r="140" spans="1:15" x14ac:dyDescent="0.3">
      <c r="A140" s="2">
        <v>44953</v>
      </c>
      <c r="B140" t="s">
        <v>15</v>
      </c>
      <c r="C140" t="s">
        <v>6</v>
      </c>
      <c r="D140">
        <v>60</v>
      </c>
      <c r="E140" s="3">
        <v>48</v>
      </c>
      <c r="F140" s="3">
        <f t="shared" si="8"/>
        <v>2880</v>
      </c>
      <c r="G140" s="6">
        <v>0.86</v>
      </c>
      <c r="H140" s="11">
        <f>Tblsales[[#This Row],[Gross Sales]]*(1-Tblsales[[#This Row],[Discount]])</f>
        <v>403.20000000000005</v>
      </c>
      <c r="I140" s="11">
        <f>Tblsales[[#This Row],[Gross Sales]]*Tblsales[[#This Row],[Discount]]</f>
        <v>2476.8000000000002</v>
      </c>
      <c r="J140" s="3">
        <v>17.28</v>
      </c>
      <c r="K140" s="3">
        <f>Tblsales[[#This Row],[Cost_per_unit]]*Tblsales[[#This Row],[Units]]</f>
        <v>1036.8000000000002</v>
      </c>
      <c r="L140" s="3">
        <f>Tblsales[[#This Row],[Gross Sales]]-Tblsales[[#This Row],[Units]]*Tblsales[[#This Row],[Cost_per_unit]]-Tblsales[[#This Row],[Gross Sales]]*Tblsales[[#This Row],[Discount]]</f>
        <v>-633.60000000000036</v>
      </c>
      <c r="M140" s="3">
        <f>Tblsales[[#This Row],[Profit]]/Tblsales[[#This Row],[Net_Sales]]</f>
        <v>-1.5714285714285721</v>
      </c>
      <c r="N140" s="2">
        <f>EOMONTH(Tblsales[[#This Row],[Date]],-1)+1</f>
        <v>44927</v>
      </c>
      <c r="O140" s="3" t="str">
        <f t="shared" si="9"/>
        <v>Stationery</v>
      </c>
    </row>
    <row r="141" spans="1:15" x14ac:dyDescent="0.3">
      <c r="A141" s="2">
        <v>44936</v>
      </c>
      <c r="B141" t="s">
        <v>9</v>
      </c>
      <c r="C141" t="s">
        <v>4</v>
      </c>
      <c r="D141">
        <v>51</v>
      </c>
      <c r="E141" s="3">
        <v>33</v>
      </c>
      <c r="F141" s="3">
        <f t="shared" si="8"/>
        <v>1683</v>
      </c>
      <c r="G141" s="6">
        <v>0.35</v>
      </c>
      <c r="H141" s="11">
        <f>Tblsales[[#This Row],[Gross Sales]]*(1-Tblsales[[#This Row],[Discount]])</f>
        <v>1093.95</v>
      </c>
      <c r="I141" s="11">
        <f>Tblsales[[#This Row],[Gross Sales]]*Tblsales[[#This Row],[Discount]]</f>
        <v>589.04999999999995</v>
      </c>
      <c r="J141" s="3">
        <v>14.190000000000001</v>
      </c>
      <c r="K141" s="3">
        <f>Tblsales[[#This Row],[Cost_per_unit]]*Tblsales[[#This Row],[Units]]</f>
        <v>723.69</v>
      </c>
      <c r="L141" s="3">
        <f>Tblsales[[#This Row],[Gross Sales]]-Tblsales[[#This Row],[Units]]*Tblsales[[#This Row],[Cost_per_unit]]-Tblsales[[#This Row],[Gross Sales]]*Tblsales[[#This Row],[Discount]]</f>
        <v>370.26</v>
      </c>
      <c r="M141" s="3">
        <f>Tblsales[[#This Row],[Profit]]/Tblsales[[#This Row],[Net_Sales]]</f>
        <v>0.33846153846153842</v>
      </c>
      <c r="N141" s="2">
        <f>EOMONTH(Tblsales[[#This Row],[Date]],-1)+1</f>
        <v>44927</v>
      </c>
      <c r="O141" s="3" t="str">
        <f t="shared" si="9"/>
        <v>Stationery</v>
      </c>
    </row>
    <row r="142" spans="1:15" x14ac:dyDescent="0.3">
      <c r="A142" s="2">
        <v>44954</v>
      </c>
      <c r="B142" t="s">
        <v>9</v>
      </c>
      <c r="C142" t="s">
        <v>10</v>
      </c>
      <c r="D142">
        <v>188</v>
      </c>
      <c r="E142" s="3">
        <v>77</v>
      </c>
      <c r="F142" s="3">
        <f t="shared" si="8"/>
        <v>14476</v>
      </c>
      <c r="G142" s="6">
        <v>0.24</v>
      </c>
      <c r="H142" s="11">
        <f>Tblsales[[#This Row],[Gross Sales]]*(1-Tblsales[[#This Row],[Discount]])</f>
        <v>11001.76</v>
      </c>
      <c r="I142" s="11">
        <f>Tblsales[[#This Row],[Gross Sales]]*Tblsales[[#This Row],[Discount]]</f>
        <v>3474.24</v>
      </c>
      <c r="J142" s="3">
        <v>22.330000000000002</v>
      </c>
      <c r="K142" s="3">
        <f>Tblsales[[#This Row],[Cost_per_unit]]*Tblsales[[#This Row],[Units]]</f>
        <v>4198.04</v>
      </c>
      <c r="L142" s="3">
        <f>Tblsales[[#This Row],[Gross Sales]]-Tblsales[[#This Row],[Units]]*Tblsales[[#This Row],[Cost_per_unit]]-Tblsales[[#This Row],[Gross Sales]]*Tblsales[[#This Row],[Discount]]</f>
        <v>6803.7199999999993</v>
      </c>
      <c r="M142" s="3">
        <f>Tblsales[[#This Row],[Profit]]/Tblsales[[#This Row],[Net_Sales]]</f>
        <v>0.61842105263157887</v>
      </c>
      <c r="N142" s="2">
        <f>EOMONTH(Tblsales[[#This Row],[Date]],-1)+1</f>
        <v>44927</v>
      </c>
      <c r="O142" s="3" t="str">
        <f t="shared" si="9"/>
        <v>Sports</v>
      </c>
    </row>
    <row r="143" spans="1:15" x14ac:dyDescent="0.3">
      <c r="A143" s="2">
        <v>44942</v>
      </c>
      <c r="B143" t="s">
        <v>14</v>
      </c>
      <c r="C143" t="s">
        <v>21</v>
      </c>
      <c r="D143">
        <v>125</v>
      </c>
      <c r="E143" s="3">
        <v>69</v>
      </c>
      <c r="F143" s="3">
        <f t="shared" si="8"/>
        <v>8625</v>
      </c>
      <c r="G143" s="6">
        <v>0.74</v>
      </c>
      <c r="H143" s="11">
        <f>Tblsales[[#This Row],[Gross Sales]]*(1-Tblsales[[#This Row],[Discount]])</f>
        <v>2242.5</v>
      </c>
      <c r="I143" s="11">
        <f>Tblsales[[#This Row],[Gross Sales]]*Tblsales[[#This Row],[Discount]]</f>
        <v>6382.5</v>
      </c>
      <c r="J143" s="3">
        <v>48.3</v>
      </c>
      <c r="K143" s="3">
        <f>Tblsales[[#This Row],[Cost_per_unit]]*Tblsales[[#This Row],[Units]]</f>
        <v>6037.5</v>
      </c>
      <c r="L143" s="3">
        <f>Tblsales[[#This Row],[Gross Sales]]-Tblsales[[#This Row],[Units]]*Tblsales[[#This Row],[Cost_per_unit]]-Tblsales[[#This Row],[Gross Sales]]*Tblsales[[#This Row],[Discount]]</f>
        <v>-3795</v>
      </c>
      <c r="M143" s="3">
        <f>Tblsales[[#This Row],[Profit]]/Tblsales[[#This Row],[Net_Sales]]</f>
        <v>-1.6923076923076923</v>
      </c>
      <c r="N143" s="2">
        <f>EOMONTH(Tblsales[[#This Row],[Date]],-1)+1</f>
        <v>44927</v>
      </c>
      <c r="O143" s="3" t="str">
        <f t="shared" si="9"/>
        <v>Accessories</v>
      </c>
    </row>
    <row r="144" spans="1:15" x14ac:dyDescent="0.3">
      <c r="A144" s="2">
        <v>44951</v>
      </c>
      <c r="B144" t="s">
        <v>15</v>
      </c>
      <c r="C144" t="s">
        <v>21</v>
      </c>
      <c r="D144">
        <v>165</v>
      </c>
      <c r="E144" s="3">
        <v>54</v>
      </c>
      <c r="F144" s="3">
        <f t="shared" si="8"/>
        <v>8910</v>
      </c>
      <c r="G144" s="6">
        <v>0.31</v>
      </c>
      <c r="H144" s="11">
        <f>Tblsales[[#This Row],[Gross Sales]]*(1-Tblsales[[#This Row],[Discount]])</f>
        <v>6147.9</v>
      </c>
      <c r="I144" s="11">
        <f>Tblsales[[#This Row],[Gross Sales]]*Tblsales[[#This Row],[Discount]]</f>
        <v>2762.1</v>
      </c>
      <c r="J144" s="3">
        <v>35.639999999999993</v>
      </c>
      <c r="K144" s="3">
        <f>Tblsales[[#This Row],[Cost_per_unit]]*Tblsales[[#This Row],[Units]]</f>
        <v>5880.5999999999985</v>
      </c>
      <c r="L144" s="3">
        <f>Tblsales[[#This Row],[Gross Sales]]-Tblsales[[#This Row],[Units]]*Tblsales[[#This Row],[Cost_per_unit]]-Tblsales[[#This Row],[Gross Sales]]*Tblsales[[#This Row],[Discount]]</f>
        <v>267.30000000000155</v>
      </c>
      <c r="M144" s="3">
        <f>Tblsales[[#This Row],[Profit]]/Tblsales[[#This Row],[Net_Sales]]</f>
        <v>4.3478260869565473E-2</v>
      </c>
      <c r="N144" s="2">
        <f>EOMONTH(Tblsales[[#This Row],[Date]],-1)+1</f>
        <v>44927</v>
      </c>
      <c r="O144" s="3" t="str">
        <f t="shared" si="9"/>
        <v>Accessories</v>
      </c>
    </row>
    <row r="145" spans="1:15" x14ac:dyDescent="0.3">
      <c r="A145" s="2">
        <v>45012</v>
      </c>
      <c r="B145" t="s">
        <v>14</v>
      </c>
      <c r="C145" t="s">
        <v>19</v>
      </c>
      <c r="D145">
        <v>86</v>
      </c>
      <c r="E145" s="3">
        <v>49</v>
      </c>
      <c r="F145" s="3">
        <f t="shared" si="8"/>
        <v>4214</v>
      </c>
      <c r="G145" s="6">
        <v>0.5</v>
      </c>
      <c r="H145" s="11">
        <f>Tblsales[[#This Row],[Gross Sales]]*(1-Tblsales[[#This Row],[Discount]])</f>
        <v>2107</v>
      </c>
      <c r="I145" s="11">
        <f>Tblsales[[#This Row],[Gross Sales]]*Tblsales[[#This Row],[Discount]]</f>
        <v>2107</v>
      </c>
      <c r="J145" s="3">
        <v>31.85</v>
      </c>
      <c r="K145" s="3">
        <f>Tblsales[[#This Row],[Cost_per_unit]]*Tblsales[[#This Row],[Units]]</f>
        <v>2739.1</v>
      </c>
      <c r="L145" s="3">
        <f>Tblsales[[#This Row],[Gross Sales]]-Tblsales[[#This Row],[Units]]*Tblsales[[#This Row],[Cost_per_unit]]-Tblsales[[#This Row],[Gross Sales]]*Tblsales[[#This Row],[Discount]]</f>
        <v>-632.09999999999991</v>
      </c>
      <c r="M145" s="3">
        <f>Tblsales[[#This Row],[Profit]]/Tblsales[[#This Row],[Net_Sales]]</f>
        <v>-0.29999999999999993</v>
      </c>
      <c r="N145" s="2">
        <f>EOMONTH(Tblsales[[#This Row],[Date]],-1)+1</f>
        <v>44986</v>
      </c>
      <c r="O145" s="3" t="str">
        <f t="shared" si="9"/>
        <v>Sports</v>
      </c>
    </row>
    <row r="146" spans="1:15" x14ac:dyDescent="0.3">
      <c r="A146" s="2">
        <v>45002</v>
      </c>
      <c r="B146" t="s">
        <v>9</v>
      </c>
      <c r="C146" t="s">
        <v>4</v>
      </c>
      <c r="D146">
        <v>104</v>
      </c>
      <c r="E146" s="3">
        <v>67</v>
      </c>
      <c r="F146" s="3">
        <f t="shared" si="8"/>
        <v>6968</v>
      </c>
      <c r="G146" s="6">
        <v>0.21</v>
      </c>
      <c r="H146" s="11">
        <f>Tblsales[[#This Row],[Gross Sales]]*(1-Tblsales[[#This Row],[Discount]])</f>
        <v>5504.72</v>
      </c>
      <c r="I146" s="11">
        <f>Tblsales[[#This Row],[Gross Sales]]*Tblsales[[#This Row],[Discount]]</f>
        <v>1463.28</v>
      </c>
      <c r="J146" s="3">
        <v>15.409999999999998</v>
      </c>
      <c r="K146" s="3">
        <f>Tblsales[[#This Row],[Cost_per_unit]]*Tblsales[[#This Row],[Units]]</f>
        <v>1602.6399999999999</v>
      </c>
      <c r="L146" s="3">
        <f>Tblsales[[#This Row],[Gross Sales]]-Tblsales[[#This Row],[Units]]*Tblsales[[#This Row],[Cost_per_unit]]-Tblsales[[#This Row],[Gross Sales]]*Tblsales[[#This Row],[Discount]]</f>
        <v>3902.0800000000008</v>
      </c>
      <c r="M146" s="3">
        <f>Tblsales[[#This Row],[Profit]]/Tblsales[[#This Row],[Net_Sales]]</f>
        <v>0.708860759493671</v>
      </c>
      <c r="N146" s="2">
        <f>EOMONTH(Tblsales[[#This Row],[Date]],-1)+1</f>
        <v>44986</v>
      </c>
      <c r="O146" s="3" t="str">
        <f t="shared" si="9"/>
        <v>Stationery</v>
      </c>
    </row>
    <row r="147" spans="1:15" x14ac:dyDescent="0.3">
      <c r="A147" s="2">
        <v>44942</v>
      </c>
      <c r="B147" t="s">
        <v>15</v>
      </c>
      <c r="C147" t="s">
        <v>17</v>
      </c>
      <c r="D147">
        <v>166</v>
      </c>
      <c r="E147" s="3">
        <v>32</v>
      </c>
      <c r="F147" s="3">
        <f t="shared" si="8"/>
        <v>5312</v>
      </c>
      <c r="G147" s="6">
        <v>0.77</v>
      </c>
      <c r="H147" s="11">
        <f>Tblsales[[#This Row],[Gross Sales]]*(1-Tblsales[[#This Row],[Discount]])</f>
        <v>1221.76</v>
      </c>
      <c r="I147" s="11">
        <f>Tblsales[[#This Row],[Gross Sales]]*Tblsales[[#This Row],[Discount]]</f>
        <v>4090.2400000000002</v>
      </c>
      <c r="J147" s="3">
        <v>9.6000000000000014</v>
      </c>
      <c r="K147" s="3">
        <f>Tblsales[[#This Row],[Cost_per_unit]]*Tblsales[[#This Row],[Units]]</f>
        <v>1593.6000000000001</v>
      </c>
      <c r="L147" s="3">
        <f>Tblsales[[#This Row],[Gross Sales]]-Tblsales[[#This Row],[Units]]*Tblsales[[#This Row],[Cost_per_unit]]-Tblsales[[#This Row],[Gross Sales]]*Tblsales[[#This Row],[Discount]]</f>
        <v>-371.8400000000006</v>
      </c>
      <c r="M147" s="3">
        <f>Tblsales[[#This Row],[Profit]]/Tblsales[[#This Row],[Net_Sales]]</f>
        <v>-0.30434782608695704</v>
      </c>
      <c r="N147" s="2">
        <f>EOMONTH(Tblsales[[#This Row],[Date]],-1)+1</f>
        <v>44927</v>
      </c>
      <c r="O147" s="3" t="str">
        <f t="shared" si="9"/>
        <v>Accessories</v>
      </c>
    </row>
    <row r="148" spans="1:15" x14ac:dyDescent="0.3">
      <c r="A148" s="2">
        <v>44935</v>
      </c>
      <c r="B148" t="s">
        <v>8</v>
      </c>
      <c r="C148" t="s">
        <v>6</v>
      </c>
      <c r="D148">
        <v>64</v>
      </c>
      <c r="E148" s="3">
        <v>39</v>
      </c>
      <c r="F148" s="3">
        <f t="shared" ref="F148:F151" si="10">D148*E148</f>
        <v>2496</v>
      </c>
      <c r="G148" s="6">
        <v>0.4</v>
      </c>
      <c r="H148" s="11">
        <f>Tblsales[[#This Row],[Gross Sales]]*(1-Tblsales[[#This Row],[Discount]])</f>
        <v>1497.6</v>
      </c>
      <c r="I148" s="11">
        <f>Tblsales[[#This Row],[Gross Sales]]*Tblsales[[#This Row],[Discount]]</f>
        <v>998.40000000000009</v>
      </c>
      <c r="J148" s="3">
        <v>14.82</v>
      </c>
      <c r="K148" s="3">
        <f>Tblsales[[#This Row],[Cost_per_unit]]*Tblsales[[#This Row],[Units]]</f>
        <v>948.48</v>
      </c>
      <c r="L148" s="3">
        <f>Tblsales[[#This Row],[Gross Sales]]-Tblsales[[#This Row],[Units]]*Tblsales[[#This Row],[Cost_per_unit]]-Tblsales[[#This Row],[Gross Sales]]*Tblsales[[#This Row],[Discount]]</f>
        <v>549.11999999999989</v>
      </c>
      <c r="M148" s="3">
        <f>Tblsales[[#This Row],[Profit]]/Tblsales[[#This Row],[Net_Sales]]</f>
        <v>0.36666666666666664</v>
      </c>
      <c r="N148" s="2">
        <f>EOMONTH(Tblsales[[#This Row],[Date]],-1)+1</f>
        <v>44927</v>
      </c>
      <c r="O148" s="3" t="str">
        <f t="shared" si="9"/>
        <v>Stationery</v>
      </c>
    </row>
    <row r="149" spans="1:15" x14ac:dyDescent="0.3">
      <c r="A149" s="2">
        <v>44950</v>
      </c>
      <c r="B149" t="s">
        <v>8</v>
      </c>
      <c r="C149" t="s">
        <v>4</v>
      </c>
      <c r="D149">
        <v>163</v>
      </c>
      <c r="E149" s="3">
        <v>83</v>
      </c>
      <c r="F149" s="3">
        <f t="shared" si="10"/>
        <v>13529</v>
      </c>
      <c r="G149" s="6">
        <v>0.56000000000000005</v>
      </c>
      <c r="H149" s="11">
        <f>Tblsales[[#This Row],[Gross Sales]]*(1-Tblsales[[#This Row],[Discount]])</f>
        <v>5952.7599999999993</v>
      </c>
      <c r="I149" s="11">
        <f>Tblsales[[#This Row],[Gross Sales]]*Tblsales[[#This Row],[Discount]]</f>
        <v>7576.2400000000007</v>
      </c>
      <c r="J149" s="3">
        <v>25.730000000000004</v>
      </c>
      <c r="K149" s="3">
        <f>Tblsales[[#This Row],[Cost_per_unit]]*Tblsales[[#This Row],[Units]]</f>
        <v>4193.9900000000007</v>
      </c>
      <c r="L149" s="3">
        <f>Tblsales[[#This Row],[Gross Sales]]-Tblsales[[#This Row],[Units]]*Tblsales[[#This Row],[Cost_per_unit]]-Tblsales[[#This Row],[Gross Sales]]*Tblsales[[#This Row],[Discount]]</f>
        <v>1758.7699999999977</v>
      </c>
      <c r="M149" s="3">
        <f>Tblsales[[#This Row],[Profit]]/Tblsales[[#This Row],[Net_Sales]]</f>
        <v>0.29545454545454508</v>
      </c>
      <c r="N149" s="2">
        <f>EOMONTH(Tblsales[[#This Row],[Date]],-1)+1</f>
        <v>44927</v>
      </c>
      <c r="O149" s="3" t="str">
        <f t="shared" si="9"/>
        <v>Stationery</v>
      </c>
    </row>
    <row r="150" spans="1:15" x14ac:dyDescent="0.3">
      <c r="A150" s="2">
        <v>44958</v>
      </c>
      <c r="B150" t="s">
        <v>14</v>
      </c>
      <c r="C150" t="s">
        <v>6</v>
      </c>
      <c r="D150">
        <v>73</v>
      </c>
      <c r="E150" s="3">
        <v>33</v>
      </c>
      <c r="F150" s="3">
        <f t="shared" si="10"/>
        <v>2409</v>
      </c>
      <c r="G150" s="6">
        <v>0.84</v>
      </c>
      <c r="H150" s="11">
        <f>Tblsales[[#This Row],[Gross Sales]]*(1-Tblsales[[#This Row],[Discount]])</f>
        <v>385.44000000000005</v>
      </c>
      <c r="I150" s="11">
        <f>Tblsales[[#This Row],[Gross Sales]]*Tblsales[[#This Row],[Discount]]</f>
        <v>2023.56</v>
      </c>
      <c r="J150" s="3">
        <v>3.6299999999999994</v>
      </c>
      <c r="K150" s="3">
        <f>Tblsales[[#This Row],[Cost_per_unit]]*Tblsales[[#This Row],[Units]]</f>
        <v>264.98999999999995</v>
      </c>
      <c r="L150" s="3">
        <f>Tblsales[[#This Row],[Gross Sales]]-Tblsales[[#This Row],[Units]]*Tblsales[[#This Row],[Cost_per_unit]]-Tblsales[[#This Row],[Gross Sales]]*Tblsales[[#This Row],[Discount]]</f>
        <v>120.45000000000027</v>
      </c>
      <c r="M150" s="3">
        <f>Tblsales[[#This Row],[Profit]]/Tblsales[[#This Row],[Net_Sales]]</f>
        <v>0.31250000000000067</v>
      </c>
      <c r="N150" s="2">
        <f>EOMONTH(Tblsales[[#This Row],[Date]],-1)+1</f>
        <v>44958</v>
      </c>
      <c r="O150" s="3" t="str">
        <f t="shared" si="9"/>
        <v>Stationery</v>
      </c>
    </row>
    <row r="151" spans="1:15" x14ac:dyDescent="0.3">
      <c r="A151" s="2">
        <v>45010</v>
      </c>
      <c r="B151" t="s">
        <v>9</v>
      </c>
      <c r="C151" t="s">
        <v>10</v>
      </c>
      <c r="D151">
        <v>156</v>
      </c>
      <c r="E151" s="3">
        <v>73</v>
      </c>
      <c r="F151" s="3">
        <f t="shared" si="10"/>
        <v>11388</v>
      </c>
      <c r="G151" s="6">
        <v>0.22</v>
      </c>
      <c r="H151" s="11">
        <f>Tblsales[[#This Row],[Gross Sales]]*(1-Tblsales[[#This Row],[Discount]])</f>
        <v>8882.64</v>
      </c>
      <c r="I151" s="11">
        <f>Tblsales[[#This Row],[Gross Sales]]*Tblsales[[#This Row],[Discount]]</f>
        <v>2505.36</v>
      </c>
      <c r="J151" s="3">
        <v>22.630000000000003</v>
      </c>
      <c r="K151" s="3">
        <f>Tblsales[[#This Row],[Cost_per_unit]]*Tblsales[[#This Row],[Units]]</f>
        <v>3530.28</v>
      </c>
      <c r="L151" s="3">
        <f>Tblsales[[#This Row],[Gross Sales]]-Tblsales[[#This Row],[Units]]*Tblsales[[#This Row],[Cost_per_unit]]-Tblsales[[#This Row],[Gross Sales]]*Tblsales[[#This Row],[Discount]]</f>
        <v>5352.3599999999988</v>
      </c>
      <c r="M151" s="3">
        <f>Tblsales[[#This Row],[Profit]]/Tblsales[[#This Row],[Net_Sales]]</f>
        <v>0.60256410256410242</v>
      </c>
      <c r="N151" s="2">
        <f>EOMONTH(Tblsales[[#This Row],[Date]],-1)+1</f>
        <v>44986</v>
      </c>
      <c r="O151" s="3" t="str">
        <f t="shared" si="9"/>
        <v>Sports</v>
      </c>
    </row>
    <row r="152" spans="1:15" x14ac:dyDescent="0.3">
      <c r="A152" s="2"/>
    </row>
  </sheetData>
  <phoneticPr fontId="3" type="noConversion"/>
  <conditionalFormatting sqref="L2:M151 L153:M1048576">
    <cfRule type="cellIs" dxfId="0"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048A-B069-4684-AAC5-E2D217194473}">
  <dimension ref="A3:J39"/>
  <sheetViews>
    <sheetView workbookViewId="0">
      <selection activeCell="H5" sqref="H5"/>
    </sheetView>
  </sheetViews>
  <sheetFormatPr defaultRowHeight="14.4" x14ac:dyDescent="0.3"/>
  <cols>
    <col min="1" max="1" width="20.88671875" bestFit="1" customWidth="1"/>
    <col min="2" max="2" width="16.77734375" bestFit="1" customWidth="1"/>
    <col min="3" max="3" width="21.88671875" bestFit="1" customWidth="1"/>
    <col min="4" max="4" width="15.6640625" bestFit="1" customWidth="1"/>
    <col min="5" max="5" width="15.77734375" bestFit="1" customWidth="1"/>
    <col min="6" max="6" width="11.5546875" bestFit="1" customWidth="1"/>
    <col min="7" max="8" width="16" bestFit="1" customWidth="1"/>
    <col min="9" max="9" width="15.44140625" bestFit="1" customWidth="1"/>
    <col min="10" max="10" width="11.5546875" bestFit="1" customWidth="1"/>
    <col min="11" max="13" width="6.5546875" bestFit="1" customWidth="1"/>
    <col min="14" max="14" width="10.5546875" bestFit="1" customWidth="1"/>
    <col min="15" max="37" width="10.109375" bestFit="1" customWidth="1"/>
    <col min="38" max="67" width="8.5546875" bestFit="1" customWidth="1"/>
    <col min="68" max="72" width="7.5546875" bestFit="1" customWidth="1"/>
    <col min="73" max="73" width="5.88671875" bestFit="1" customWidth="1"/>
    <col min="74" max="77" width="6.88671875" bestFit="1" customWidth="1"/>
    <col min="78" max="116" width="7.88671875" bestFit="1" customWidth="1"/>
    <col min="117" max="156" width="9.44140625" bestFit="1" customWidth="1"/>
    <col min="157" max="157" width="10.5546875" bestFit="1" customWidth="1"/>
  </cols>
  <sheetData>
    <row r="3" spans="1:10" x14ac:dyDescent="0.3">
      <c r="A3" s="8" t="s">
        <v>1</v>
      </c>
      <c r="B3" t="s">
        <v>30</v>
      </c>
      <c r="D3" s="8" t="s">
        <v>32</v>
      </c>
      <c r="E3" t="s">
        <v>31</v>
      </c>
      <c r="H3" s="8" t="s">
        <v>42</v>
      </c>
      <c r="I3" t="s">
        <v>30</v>
      </c>
      <c r="J3" t="s">
        <v>31</v>
      </c>
    </row>
    <row r="4" spans="1:10" x14ac:dyDescent="0.3">
      <c r="A4" s="9" t="s">
        <v>9</v>
      </c>
      <c r="B4" s="7">
        <v>132786.62999999998</v>
      </c>
      <c r="D4" s="9" t="s">
        <v>10</v>
      </c>
      <c r="E4" s="3">
        <v>18750.71</v>
      </c>
      <c r="H4" s="9" t="s">
        <v>37</v>
      </c>
      <c r="I4" s="12">
        <v>146633.23000000004</v>
      </c>
      <c r="J4" s="3">
        <v>25865.579999999987</v>
      </c>
    </row>
    <row r="5" spans="1:10" x14ac:dyDescent="0.3">
      <c r="A5" s="9" t="s">
        <v>14</v>
      </c>
      <c r="B5" s="7">
        <v>108772.87000000001</v>
      </c>
      <c r="D5" s="9" t="s">
        <v>4</v>
      </c>
      <c r="E5" s="3">
        <v>16968.739999999998</v>
      </c>
      <c r="H5" s="10" t="s">
        <v>37</v>
      </c>
      <c r="I5" s="12">
        <v>146633.23000000004</v>
      </c>
      <c r="J5" s="3">
        <v>25865.579999999987</v>
      </c>
    </row>
    <row r="6" spans="1:10" x14ac:dyDescent="0.3">
      <c r="A6" s="9" t="s">
        <v>7</v>
      </c>
      <c r="B6" s="7">
        <v>102330.11999999998</v>
      </c>
      <c r="D6" s="9" t="s">
        <v>18</v>
      </c>
      <c r="E6" s="3">
        <v>10681.68</v>
      </c>
      <c r="H6" s="9" t="s">
        <v>38</v>
      </c>
      <c r="I6" s="12">
        <v>112841.68000000002</v>
      </c>
      <c r="J6" s="3">
        <v>-14103.509999999995</v>
      </c>
    </row>
    <row r="7" spans="1:10" x14ac:dyDescent="0.3">
      <c r="A7" s="9" t="s">
        <v>8</v>
      </c>
      <c r="B7" s="7">
        <v>91797.52</v>
      </c>
      <c r="D7" s="9" t="s">
        <v>20</v>
      </c>
      <c r="E7" s="3">
        <v>10021.249999999998</v>
      </c>
      <c r="H7" s="10" t="s">
        <v>38</v>
      </c>
      <c r="I7" s="12">
        <v>112841.68000000002</v>
      </c>
      <c r="J7" s="3">
        <v>-14103.509999999995</v>
      </c>
    </row>
    <row r="8" spans="1:10" x14ac:dyDescent="0.3">
      <c r="A8" s="9" t="s">
        <v>29</v>
      </c>
      <c r="B8" s="7">
        <v>435687.14</v>
      </c>
      <c r="D8" s="9" t="s">
        <v>6</v>
      </c>
      <c r="E8" s="3">
        <v>3834.5899999999997</v>
      </c>
      <c r="H8" s="9" t="s">
        <v>39</v>
      </c>
      <c r="I8" s="12">
        <v>176212.22999999998</v>
      </c>
      <c r="J8" s="3">
        <v>40448.55000000001</v>
      </c>
    </row>
    <row r="9" spans="1:10" x14ac:dyDescent="0.3">
      <c r="D9" s="9" t="s">
        <v>16</v>
      </c>
      <c r="E9" s="3">
        <v>3790.3800000000006</v>
      </c>
      <c r="H9" s="10" t="s">
        <v>39</v>
      </c>
      <c r="I9" s="12">
        <v>176212.22999999998</v>
      </c>
      <c r="J9" s="3">
        <v>40448.55000000001</v>
      </c>
    </row>
    <row r="10" spans="1:10" x14ac:dyDescent="0.3">
      <c r="D10" s="9" t="s">
        <v>21</v>
      </c>
      <c r="E10" s="3">
        <v>784.39000000000169</v>
      </c>
      <c r="H10" s="9" t="s">
        <v>29</v>
      </c>
      <c r="I10" s="12">
        <v>435687.14</v>
      </c>
      <c r="J10" s="3">
        <v>52210.62</v>
      </c>
    </row>
    <row r="11" spans="1:10" x14ac:dyDescent="0.3">
      <c r="D11" s="9" t="s">
        <v>5</v>
      </c>
      <c r="E11" s="3">
        <v>-1230.9599999999991</v>
      </c>
    </row>
    <row r="12" spans="1:10" x14ac:dyDescent="0.3">
      <c r="D12" s="9" t="s">
        <v>17</v>
      </c>
      <c r="E12" s="3">
        <v>-4159.2300000000023</v>
      </c>
    </row>
    <row r="13" spans="1:10" x14ac:dyDescent="0.3">
      <c r="D13" s="9" t="s">
        <v>19</v>
      </c>
      <c r="E13" s="3">
        <v>-7230.9299999999985</v>
      </c>
    </row>
    <row r="14" spans="1:10" x14ac:dyDescent="0.3">
      <c r="D14" s="9" t="s">
        <v>29</v>
      </c>
      <c r="E14" s="3">
        <v>52210.619999999995</v>
      </c>
    </row>
    <row r="19" spans="1:6" x14ac:dyDescent="0.3">
      <c r="A19" s="8" t="s">
        <v>28</v>
      </c>
      <c r="B19" t="s">
        <v>33</v>
      </c>
      <c r="C19" t="s">
        <v>34</v>
      </c>
      <c r="D19" t="s">
        <v>30</v>
      </c>
      <c r="E19" t="s">
        <v>36</v>
      </c>
      <c r="F19" t="s">
        <v>31</v>
      </c>
    </row>
    <row r="20" spans="1:6" x14ac:dyDescent="0.3">
      <c r="A20" s="9" t="s">
        <v>9</v>
      </c>
      <c r="B20" s="3">
        <v>281915</v>
      </c>
      <c r="C20" s="7">
        <v>149128.36999999994</v>
      </c>
      <c r="D20" s="7">
        <v>132786.62999999998</v>
      </c>
      <c r="E20" s="3">
        <v>107927.77000000002</v>
      </c>
      <c r="F20" s="3">
        <v>24858.86</v>
      </c>
    </row>
    <row r="21" spans="1:6" x14ac:dyDescent="0.3">
      <c r="A21" s="9" t="s">
        <v>14</v>
      </c>
      <c r="B21" s="3">
        <v>238803</v>
      </c>
      <c r="C21" s="7">
        <v>130030.13000000002</v>
      </c>
      <c r="D21" s="7">
        <v>108772.87000000001</v>
      </c>
      <c r="E21" s="3">
        <v>100197.52000000003</v>
      </c>
      <c r="F21" s="3">
        <v>8575.35</v>
      </c>
    </row>
    <row r="22" spans="1:6" x14ac:dyDescent="0.3">
      <c r="A22" s="9" t="s">
        <v>7</v>
      </c>
      <c r="B22" s="3">
        <v>227570</v>
      </c>
      <c r="C22" s="7">
        <v>125239.88</v>
      </c>
      <c r="D22" s="7">
        <v>102330.11999999998</v>
      </c>
      <c r="E22" s="3">
        <v>94785.040000000008</v>
      </c>
      <c r="F22" s="3">
        <v>7545.0800000000054</v>
      </c>
    </row>
    <row r="23" spans="1:6" x14ac:dyDescent="0.3">
      <c r="A23" s="9" t="s">
        <v>8</v>
      </c>
      <c r="B23" s="3">
        <v>214425</v>
      </c>
      <c r="C23" s="7">
        <v>122627.48</v>
      </c>
      <c r="D23" s="7">
        <v>91797.52</v>
      </c>
      <c r="E23" s="3">
        <v>80566.19</v>
      </c>
      <c r="F23" s="3">
        <v>11231.330000000002</v>
      </c>
    </row>
    <row r="24" spans="1:6" x14ac:dyDescent="0.3">
      <c r="A24" s="9" t="s">
        <v>29</v>
      </c>
      <c r="B24" s="3">
        <v>962713</v>
      </c>
      <c r="C24" s="7">
        <v>527025.85999999987</v>
      </c>
      <c r="D24" s="7">
        <v>435687.14</v>
      </c>
      <c r="E24" s="3">
        <v>383476.52</v>
      </c>
      <c r="F24" s="3">
        <v>52210.62000000001</v>
      </c>
    </row>
    <row r="27" spans="1:6" x14ac:dyDescent="0.3">
      <c r="A27" s="8" t="s">
        <v>41</v>
      </c>
      <c r="B27" s="8" t="s">
        <v>1</v>
      </c>
    </row>
    <row r="28" spans="1:6" x14ac:dyDescent="0.3">
      <c r="A28" s="8" t="s">
        <v>2</v>
      </c>
      <c r="B28" t="s">
        <v>14</v>
      </c>
      <c r="C28" t="s">
        <v>9</v>
      </c>
      <c r="D28" t="s">
        <v>8</v>
      </c>
      <c r="E28" t="s">
        <v>7</v>
      </c>
      <c r="F28" t="s">
        <v>29</v>
      </c>
    </row>
    <row r="29" spans="1:6" x14ac:dyDescent="0.3">
      <c r="A29" s="9" t="s">
        <v>16</v>
      </c>
      <c r="B29" s="3">
        <v>4.0213903743315793E-2</v>
      </c>
      <c r="C29" s="3">
        <v>5.0979640514524305E-2</v>
      </c>
      <c r="D29" s="3">
        <v>-0.25484859859859854</v>
      </c>
      <c r="E29" s="3">
        <v>-0.27522817585439896</v>
      </c>
      <c r="F29" s="3">
        <v>-0.15720064662362745</v>
      </c>
    </row>
    <row r="30" spans="1:6" x14ac:dyDescent="0.3">
      <c r="A30" s="9" t="s">
        <v>10</v>
      </c>
      <c r="B30" s="3">
        <v>-0.8210215362233142</v>
      </c>
      <c r="C30" s="3">
        <v>-5.8515139924698492E-2</v>
      </c>
      <c r="D30" s="3">
        <v>-0.14985842985842979</v>
      </c>
      <c r="E30" s="3">
        <v>-0.35953309198923195</v>
      </c>
      <c r="F30" s="3">
        <v>-0.32150985299575818</v>
      </c>
    </row>
    <row r="31" spans="1:6" x14ac:dyDescent="0.3">
      <c r="A31" s="9" t="s">
        <v>18</v>
      </c>
      <c r="B31" s="3">
        <v>3.0089628681178038E-2</v>
      </c>
      <c r="C31" s="3">
        <v>0.54404558404558401</v>
      </c>
      <c r="D31" s="3">
        <v>-1.22786250279401</v>
      </c>
      <c r="E31" s="3">
        <v>0.26834898278560254</v>
      </c>
      <c r="F31" s="3">
        <v>-0.28014996585493335</v>
      </c>
    </row>
    <row r="32" spans="1:6" x14ac:dyDescent="0.3">
      <c r="A32" s="9" t="s">
        <v>20</v>
      </c>
      <c r="B32" s="3">
        <v>0.29955912454731526</v>
      </c>
      <c r="C32" s="3">
        <v>-0.24416090925446107</v>
      </c>
      <c r="D32" s="3">
        <v>1.7163222955905805E-2</v>
      </c>
      <c r="E32" s="3">
        <v>-0.22775751547303266</v>
      </c>
      <c r="F32" s="3">
        <v>-7.3806733530018459E-2</v>
      </c>
    </row>
    <row r="33" spans="1:6" x14ac:dyDescent="0.3">
      <c r="A33" s="9" t="s">
        <v>17</v>
      </c>
      <c r="B33" s="3">
        <v>-0.12821253365548901</v>
      </c>
      <c r="C33" s="3">
        <v>-9.7608799617407815E-2</v>
      </c>
      <c r="D33" s="3">
        <v>-0.59999999999999987</v>
      </c>
      <c r="E33" s="3">
        <v>5.1442920580634377E-2</v>
      </c>
      <c r="F33" s="3">
        <v>-0.11685609804991023</v>
      </c>
    </row>
    <row r="34" spans="1:6" x14ac:dyDescent="0.3">
      <c r="A34" s="9" t="s">
        <v>6</v>
      </c>
      <c r="B34" s="3">
        <v>0.36871693121693139</v>
      </c>
      <c r="C34" s="3">
        <v>-0.30701754385964936</v>
      </c>
      <c r="D34" s="3">
        <v>0.25307165241948182</v>
      </c>
      <c r="E34" s="3">
        <v>-0.40565858598645504</v>
      </c>
      <c r="F34" s="3">
        <v>1.6677190443563607E-2</v>
      </c>
    </row>
    <row r="35" spans="1:6" x14ac:dyDescent="0.3">
      <c r="A35" s="9" t="s">
        <v>5</v>
      </c>
      <c r="B35" s="3">
        <v>-1.2857142857142854</v>
      </c>
      <c r="C35" s="3">
        <v>-0.63365893365893378</v>
      </c>
      <c r="D35" s="3">
        <v>8.666154633896575E-2</v>
      </c>
      <c r="E35" s="3">
        <v>-0.3018867924528299</v>
      </c>
      <c r="F35" s="3">
        <v>-0.47360782663799789</v>
      </c>
    </row>
    <row r="36" spans="1:6" x14ac:dyDescent="0.3">
      <c r="A36" s="9" t="s">
        <v>4</v>
      </c>
      <c r="B36" s="3">
        <v>0.52846876727473746</v>
      </c>
      <c r="C36" s="3">
        <v>-8.6070509723889729E-2</v>
      </c>
      <c r="D36" s="3">
        <v>-0.2186112800243237</v>
      </c>
      <c r="E36" s="3">
        <v>0.24519179952159709</v>
      </c>
      <c r="F36" s="3">
        <v>5.247225610098985E-2</v>
      </c>
    </row>
    <row r="37" spans="1:6" x14ac:dyDescent="0.3">
      <c r="A37" s="9" t="s">
        <v>21</v>
      </c>
      <c r="B37" s="3">
        <v>-0.42078071182548787</v>
      </c>
      <c r="C37" s="3">
        <v>0.24489795918367338</v>
      </c>
      <c r="D37" s="3">
        <v>-0.25524193548387075</v>
      </c>
      <c r="E37" s="3">
        <v>-3.2786267905767864E-2</v>
      </c>
      <c r="F37" s="3">
        <v>-0.11138760089795156</v>
      </c>
    </row>
    <row r="38" spans="1:6" x14ac:dyDescent="0.3">
      <c r="A38" s="9" t="s">
        <v>19</v>
      </c>
      <c r="B38" s="3">
        <v>-0.43186885245901629</v>
      </c>
      <c r="C38" s="3">
        <v>-0.7222222222222221</v>
      </c>
      <c r="D38" s="3">
        <v>-0.46446862996158766</v>
      </c>
      <c r="E38" s="3">
        <v>-1.0277777777777772</v>
      </c>
      <c r="F38" s="3">
        <v>-0.62535344206320864</v>
      </c>
    </row>
    <row r="39" spans="1:6" x14ac:dyDescent="0.3">
      <c r="A39" s="9" t="s">
        <v>29</v>
      </c>
      <c r="B39" s="3">
        <v>-0.20198971335747451</v>
      </c>
      <c r="C39" s="3">
        <v>-0.17152424006779707</v>
      </c>
      <c r="D39" s="3">
        <v>-0.2739567959425247</v>
      </c>
      <c r="E39" s="3">
        <v>-0.15964139007341777</v>
      </c>
      <c r="F39" s="3">
        <v>-0.19847903334656106</v>
      </c>
    </row>
  </sheetData>
  <conditionalFormatting pivot="1" sqref="B29:F39">
    <cfRule type="dataBar" priority="1">
      <dataBar>
        <cfvo type="min"/>
        <cfvo type="max"/>
        <color rgb="FF92D050"/>
      </dataBar>
      <extLst>
        <ext xmlns:x14="http://schemas.microsoft.com/office/spreadsheetml/2009/9/main" uri="{B025F937-C7B1-47D3-B67F-A62EFF666E3E}">
          <x14:id>{FAA381A2-E2F3-46BA-B812-180D0C786098}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AA381A2-E2F3-46BA-B812-180D0C786098}">
            <x14:dataBar minLength="0" maxLength="100" gradient="0">
              <x14:cfvo type="autoMin"/>
              <x14:cfvo type="autoMax"/>
              <x14:negativeFillColor rgb="FFFF0000"/>
              <x14:axisColor rgb="FF000000"/>
            </x14:dataBar>
          </x14:cfRule>
          <xm:sqref>B29:F39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4023-11F2-49FF-A6F8-6FF15619662C}">
  <dimension ref="A1:C11"/>
  <sheetViews>
    <sheetView workbookViewId="0">
      <selection activeCell="S23" sqref="S23"/>
    </sheetView>
  </sheetViews>
  <sheetFormatPr defaultRowHeight="14.4" x14ac:dyDescent="0.3"/>
  <cols>
    <col min="1" max="1" width="15.6640625" bestFit="1" customWidth="1"/>
    <col min="2" max="2" width="14.44140625" bestFit="1" customWidth="1"/>
    <col min="3" max="3" width="24.6640625" bestFit="1" customWidth="1"/>
  </cols>
  <sheetData>
    <row r="1" spans="1:3" x14ac:dyDescent="0.3">
      <c r="A1" t="s">
        <v>32</v>
      </c>
      <c r="B1" t="s">
        <v>44</v>
      </c>
      <c r="C1" t="s">
        <v>43</v>
      </c>
    </row>
    <row r="2" spans="1:3" x14ac:dyDescent="0.3">
      <c r="A2" t="s">
        <v>16</v>
      </c>
      <c r="B2">
        <v>222.96352941176474</v>
      </c>
      <c r="C2">
        <v>2436.1729411764704</v>
      </c>
    </row>
    <row r="3" spans="1:3" x14ac:dyDescent="0.3">
      <c r="A3" t="s">
        <v>10</v>
      </c>
      <c r="B3">
        <v>721.18115384615385</v>
      </c>
      <c r="C3">
        <v>3764.1323076923072</v>
      </c>
    </row>
    <row r="4" spans="1:3" x14ac:dyDescent="0.3">
      <c r="A4" t="s">
        <v>18</v>
      </c>
      <c r="B4">
        <v>821.66769230769228</v>
      </c>
      <c r="C4">
        <v>3485.917692307693</v>
      </c>
    </row>
    <row r="5" spans="1:3" x14ac:dyDescent="0.3">
      <c r="A5" t="s">
        <v>20</v>
      </c>
      <c r="B5">
        <v>626.32812499999989</v>
      </c>
      <c r="C5">
        <v>5014.7787499999995</v>
      </c>
    </row>
    <row r="6" spans="1:3" x14ac:dyDescent="0.3">
      <c r="A6" t="s">
        <v>17</v>
      </c>
      <c r="B6">
        <v>-297.08785714285733</v>
      </c>
      <c r="C6">
        <v>4358.551428571428</v>
      </c>
    </row>
    <row r="7" spans="1:3" x14ac:dyDescent="0.3">
      <c r="A7" t="s">
        <v>6</v>
      </c>
      <c r="B7">
        <v>273.89928571428567</v>
      </c>
      <c r="C7">
        <v>2294.5921428571432</v>
      </c>
    </row>
    <row r="8" spans="1:3" x14ac:dyDescent="0.3">
      <c r="A8" t="s">
        <v>5</v>
      </c>
      <c r="B8">
        <v>-175.85142857142844</v>
      </c>
      <c r="C8">
        <v>3431.0342857142859</v>
      </c>
    </row>
    <row r="9" spans="1:3" x14ac:dyDescent="0.3">
      <c r="A9" t="s">
        <v>4</v>
      </c>
      <c r="B9">
        <v>998.16117647058809</v>
      </c>
      <c r="C9">
        <v>3144.5023529411765</v>
      </c>
    </row>
    <row r="10" spans="1:3" x14ac:dyDescent="0.3">
      <c r="A10" t="s">
        <v>21</v>
      </c>
      <c r="B10">
        <v>65.36583333333347</v>
      </c>
      <c r="C10">
        <v>2809.7941666666666</v>
      </c>
    </row>
    <row r="11" spans="1:3" x14ac:dyDescent="0.3">
      <c r="A11" t="s">
        <v>19</v>
      </c>
      <c r="B11">
        <v>-516.49499999999989</v>
      </c>
      <c r="C11">
        <v>4132.4835714285709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9C24-BDAD-4AEF-B43F-162DE32D8ED2}">
  <sheetPr>
    <pageSetUpPr fitToPage="1"/>
  </sheetPr>
  <dimension ref="A1:XDD43"/>
  <sheetViews>
    <sheetView showGridLines="0" showRowColHeaders="0" tabSelected="1" workbookViewId="0">
      <selection activeCell="R25" sqref="R25"/>
    </sheetView>
  </sheetViews>
  <sheetFormatPr defaultRowHeight="14.4" x14ac:dyDescent="0.3"/>
  <cols>
    <col min="8" max="8" width="12" bestFit="1" customWidth="1"/>
    <col min="11" max="12" width="20.88671875" bestFit="1" customWidth="1"/>
    <col min="13" max="13" width="8.77734375" bestFit="1" customWidth="1"/>
    <col min="14" max="16" width="6.5546875" bestFit="1" customWidth="1"/>
    <col min="17" max="17" width="10.5546875" bestFit="1" customWidth="1"/>
    <col min="20" max="20" width="20.88671875" bestFit="1" customWidth="1"/>
    <col min="21" max="25" width="13.44140625" customWidth="1"/>
    <col min="16332" max="16332" width="9.44140625" hidden="1" customWidth="1"/>
  </cols>
  <sheetData>
    <row r="1" spans="1:20 16332:16332" x14ac:dyDescent="0.3">
      <c r="XDD1" s="12">
        <f>SUM(Tblsales[Gross Sales])</f>
        <v>962713</v>
      </c>
    </row>
    <row r="2" spans="1:20 16332:16332" x14ac:dyDescent="0.3">
      <c r="XDD2" s="12">
        <f xml:space="preserve"> SUM(Tblsales[Discount_Amount])</f>
        <v>527025.85999999987</v>
      </c>
    </row>
    <row r="3" spans="1:20 16332:16332" x14ac:dyDescent="0.3">
      <c r="XDD3" s="12">
        <f xml:space="preserve"> SUM(Tblsales[Net_Sales])</f>
        <v>435687.14000000007</v>
      </c>
    </row>
    <row r="4" spans="1:20 16332:16332" x14ac:dyDescent="0.3">
      <c r="A4" s="14"/>
      <c r="B4" s="14"/>
      <c r="C4" s="14"/>
      <c r="D4" s="14"/>
      <c r="E4" s="14"/>
      <c r="F4" s="14"/>
      <c r="G4" s="14"/>
      <c r="H4" s="14"/>
      <c r="I4" s="14"/>
      <c r="J4" s="14"/>
      <c r="K4" s="14"/>
      <c r="L4" s="14"/>
      <c r="M4" s="14"/>
      <c r="N4" s="14"/>
      <c r="O4" s="14"/>
      <c r="P4" s="14"/>
      <c r="Q4" s="14"/>
      <c r="R4" s="14"/>
      <c r="S4" s="14"/>
      <c r="T4" s="14"/>
      <c r="XDD4" s="12">
        <f xml:space="preserve"> SUM(Tblsales[Profit])</f>
        <v>52210.619999999974</v>
      </c>
    </row>
    <row r="5" spans="1:20 16332:16332" x14ac:dyDescent="0.3">
      <c r="A5" s="14"/>
      <c r="B5" s="14"/>
      <c r="C5" s="14"/>
      <c r="D5" s="14"/>
      <c r="E5" s="14"/>
      <c r="F5" s="14"/>
      <c r="G5" s="14"/>
      <c r="H5" s="14"/>
      <c r="I5" s="14"/>
      <c r="J5" s="14"/>
      <c r="K5" s="14"/>
      <c r="L5" s="14"/>
      <c r="M5" s="14"/>
      <c r="N5" s="14"/>
      <c r="O5" s="14"/>
      <c r="P5" s="14"/>
      <c r="Q5" s="14"/>
      <c r="R5" s="14"/>
      <c r="S5" s="14"/>
      <c r="T5" s="14"/>
      <c r="XDD5" s="13">
        <f xml:space="preserve"> SUM(Tblsales[Profit]) / SUM(Tblsales[Net_Sales])</f>
        <v>0.11983511838334261</v>
      </c>
    </row>
    <row r="6" spans="1:20 16332:16332" x14ac:dyDescent="0.3">
      <c r="A6" s="14"/>
      <c r="B6" s="14"/>
      <c r="C6" s="14"/>
      <c r="D6" s="14"/>
      <c r="E6" s="14"/>
      <c r="F6" s="14"/>
      <c r="G6" s="14"/>
      <c r="H6" s="14"/>
      <c r="I6" s="14"/>
      <c r="J6" s="14"/>
      <c r="K6" s="14"/>
      <c r="L6" s="14"/>
      <c r="M6" s="14"/>
      <c r="N6" s="14"/>
      <c r="O6" s="14"/>
      <c r="P6" s="14"/>
      <c r="Q6" s="14"/>
      <c r="R6" s="14"/>
      <c r="S6" s="14"/>
      <c r="T6" s="14"/>
      <c r="XDD6" s="3">
        <f xml:space="preserve"> AVERAGE(Tblsales[Price_per_unit])</f>
        <v>60.813333333333333</v>
      </c>
    </row>
    <row r="8" spans="1:20 16332:16332" x14ac:dyDescent="0.3">
      <c r="T8" s="14"/>
    </row>
    <row r="32" spans="12:13" x14ac:dyDescent="0.3">
      <c r="L32" s="8" t="s">
        <v>41</v>
      </c>
      <c r="M32" s="8" t="s">
        <v>1</v>
      </c>
    </row>
    <row r="33" spans="12:16" x14ac:dyDescent="0.3">
      <c r="L33" s="8" t="s">
        <v>2</v>
      </c>
      <c r="M33" t="s">
        <v>14</v>
      </c>
      <c r="N33" t="s">
        <v>9</v>
      </c>
      <c r="O33" t="s">
        <v>8</v>
      </c>
      <c r="P33" t="s">
        <v>7</v>
      </c>
    </row>
    <row r="34" spans="12:16" x14ac:dyDescent="0.3">
      <c r="L34" s="9" t="s">
        <v>16</v>
      </c>
      <c r="M34" s="3">
        <v>4.0213903743315793E-2</v>
      </c>
      <c r="N34" s="3">
        <v>5.0979640514524305E-2</v>
      </c>
      <c r="O34" s="3">
        <v>-0.25484859859859854</v>
      </c>
      <c r="P34" s="3">
        <v>-0.27522817585439896</v>
      </c>
    </row>
    <row r="35" spans="12:16" x14ac:dyDescent="0.3">
      <c r="L35" s="9" t="s">
        <v>10</v>
      </c>
      <c r="M35" s="3">
        <v>-0.8210215362233142</v>
      </c>
      <c r="N35" s="3">
        <v>-5.8515139924698492E-2</v>
      </c>
      <c r="O35" s="3">
        <v>-0.14985842985842979</v>
      </c>
      <c r="P35" s="3">
        <v>-0.35953309198923195</v>
      </c>
    </row>
    <row r="36" spans="12:16" x14ac:dyDescent="0.3">
      <c r="L36" s="9" t="s">
        <v>18</v>
      </c>
      <c r="M36" s="3">
        <v>3.0089628681178038E-2</v>
      </c>
      <c r="N36" s="3">
        <v>0.54404558404558401</v>
      </c>
      <c r="O36" s="3">
        <v>-1.22786250279401</v>
      </c>
      <c r="P36" s="3">
        <v>0.26834898278560254</v>
      </c>
    </row>
    <row r="37" spans="12:16" x14ac:dyDescent="0.3">
      <c r="L37" s="9" t="s">
        <v>20</v>
      </c>
      <c r="M37" s="3">
        <v>0.29955912454731526</v>
      </c>
      <c r="N37" s="3">
        <v>-0.24416090925446107</v>
      </c>
      <c r="O37" s="3">
        <v>1.7163222955905805E-2</v>
      </c>
      <c r="P37" s="3">
        <v>-0.22775751547303266</v>
      </c>
    </row>
    <row r="38" spans="12:16" x14ac:dyDescent="0.3">
      <c r="L38" s="9" t="s">
        <v>17</v>
      </c>
      <c r="M38" s="3">
        <v>-0.12821253365548901</v>
      </c>
      <c r="N38" s="3">
        <v>-9.7608799617407815E-2</v>
      </c>
      <c r="O38" s="3">
        <v>-0.59999999999999987</v>
      </c>
      <c r="P38" s="3">
        <v>5.1442920580634377E-2</v>
      </c>
    </row>
    <row r="39" spans="12:16" x14ac:dyDescent="0.3">
      <c r="L39" s="9" t="s">
        <v>6</v>
      </c>
      <c r="M39" s="3">
        <v>0.36871693121693139</v>
      </c>
      <c r="N39" s="3">
        <v>-0.30701754385964936</v>
      </c>
      <c r="O39" s="3">
        <v>0.25307165241948182</v>
      </c>
      <c r="P39" s="3">
        <v>-0.40565858598645504</v>
      </c>
    </row>
    <row r="40" spans="12:16" x14ac:dyDescent="0.3">
      <c r="L40" s="9" t="s">
        <v>5</v>
      </c>
      <c r="M40" s="3">
        <v>-1.2857142857142854</v>
      </c>
      <c r="N40" s="3">
        <v>-0.63365893365893378</v>
      </c>
      <c r="O40" s="3">
        <v>8.666154633896575E-2</v>
      </c>
      <c r="P40" s="3">
        <v>-0.3018867924528299</v>
      </c>
    </row>
    <row r="41" spans="12:16" x14ac:dyDescent="0.3">
      <c r="L41" s="9" t="s">
        <v>4</v>
      </c>
      <c r="M41" s="3">
        <v>0.52846876727473746</v>
      </c>
      <c r="N41" s="3">
        <v>-8.6070509723889729E-2</v>
      </c>
      <c r="O41" s="3">
        <v>-0.2186112800243237</v>
      </c>
      <c r="P41" s="3">
        <v>0.24519179952159709</v>
      </c>
    </row>
    <row r="42" spans="12:16" x14ac:dyDescent="0.3">
      <c r="L42" s="9" t="s">
        <v>21</v>
      </c>
      <c r="M42" s="3">
        <v>-0.42078071182548787</v>
      </c>
      <c r="N42" s="3">
        <v>0.24489795918367338</v>
      </c>
      <c r="O42" s="3">
        <v>-0.25524193548387075</v>
      </c>
      <c r="P42" s="3">
        <v>-3.2786267905767864E-2</v>
      </c>
    </row>
    <row r="43" spans="12:16" x14ac:dyDescent="0.3">
      <c r="L43" s="9" t="s">
        <v>19</v>
      </c>
      <c r="M43" s="3">
        <v>-0.43186885245901629</v>
      </c>
      <c r="N43" s="3">
        <v>-0.7222222222222221</v>
      </c>
      <c r="O43" s="3">
        <v>-0.46446862996158766</v>
      </c>
      <c r="P43" s="3">
        <v>-1.0277777777777772</v>
      </c>
    </row>
  </sheetData>
  <sheetProtection sheet="1" scenarios="1" selectLockedCells="1" autoFilter="0" pivotTables="0" selectUnlockedCells="1"/>
  <conditionalFormatting pivot="1" sqref="M34:P43">
    <cfRule type="dataBar" priority="1">
      <dataBar>
        <cfvo type="min"/>
        <cfvo type="max"/>
        <color rgb="FF92D050"/>
      </dataBar>
      <extLst>
        <ext xmlns:x14="http://schemas.microsoft.com/office/spreadsheetml/2009/9/main" uri="{B025F937-C7B1-47D3-B67F-A62EFF666E3E}">
          <x14:id>{80547803-63BA-4F3C-9640-AF812E438A15}</x14:id>
        </ext>
      </extLst>
    </cfRule>
  </conditionalFormatting>
  <printOptions horizontalCentered="1"/>
  <pageMargins left="0.19685039370078741" right="0.19685039370078741" top="0.19685039370078741" bottom="0.19685039370078741" header="0.11811023622047245" footer="0.11811023622047245"/>
  <pageSetup scale="40" orientation="landscape" r:id="rId2"/>
  <drawing r:id="rId3"/>
  <extLst>
    <ext xmlns:x14="http://schemas.microsoft.com/office/spreadsheetml/2009/9/main" uri="{78C0D931-6437-407d-A8EE-F0AAD7539E65}">
      <x14:conditionalFormattings>
        <x14:conditionalFormatting xmlns:xm="http://schemas.microsoft.com/office/excel/2006/main" pivot="1">
          <x14:cfRule type="dataBar" id="{80547803-63BA-4F3C-9640-AF812E438A15}">
            <x14:dataBar minLength="0" maxLength="100" gradient="0">
              <x14:cfvo type="autoMin"/>
              <x14:cfvo type="autoMax"/>
              <x14:negativeFillColor rgb="FFFF0000"/>
              <x14:axisColor rgb="FF000000"/>
            </x14:dataBar>
          </x14:cfRule>
          <xm:sqref>M34:P43</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Dataset Retail_Sales</vt:lpstr>
      <vt:lpstr>Pivots</vt:lpstr>
      <vt:lpstr>Chart_Discount_Profit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Garg</dc:creator>
  <cp:lastModifiedBy>Hitesh Garg</cp:lastModifiedBy>
  <cp:lastPrinted>2025-11-14T16:10:04Z</cp:lastPrinted>
  <dcterms:created xsi:type="dcterms:W3CDTF">2025-10-29T03:22:57Z</dcterms:created>
  <dcterms:modified xsi:type="dcterms:W3CDTF">2025-11-14T16:19:37Z</dcterms:modified>
</cp:coreProperties>
</file>